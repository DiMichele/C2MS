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/>
  <mc:AlternateContent xmlns:mc="http://schemas.openxmlformats.org/markup-compatibility/2006">
    <mc:Choice Requires="x15">
      <x15ac:absPath xmlns:x15ac="http://schemas.microsoft.com/office/spreadsheetml/2010/11/ac" url="C:\Users\digen\Desktop\"/>
    </mc:Choice>
  </mc:AlternateContent>
  <xr:revisionPtr revIDLastSave="0" documentId="13_ncr:1_{811FE706-6A24-4687-BAB8-8A5B8CB2694A}" xr6:coauthVersionLast="47" xr6:coauthVersionMax="47" xr10:uidLastSave="{00000000-0000-0000-0000-000000000000}"/>
  <bookViews>
    <workbookView xWindow="-120" yWindow="-120" windowWidth="29040" windowHeight="15720" tabRatio="449" firstSheet="6" activeTab="6" xr2:uid="{758C14FC-6FA5-4F03-BA2B-498EB380B3F8}"/>
  </bookViews>
  <sheets>
    <sheet name="SIESTAT_1_" sheetId="1" state="hidden" r:id="rId1"/>
    <sheet name="SIESTAT 2" sheetId="2" state="hidden" r:id="rId2"/>
    <sheet name="SITREP" sheetId="3" state="hidden" r:id="rId3"/>
    <sheet name="Sheet8" sheetId="7" state="hidden" r:id="rId4"/>
    <sheet name="Sheet9" sheetId="8" state="hidden" r:id="rId5"/>
    <sheet name="Sheet10" sheetId="9" state="hidden" r:id="rId6"/>
    <sheet name="ELENCO" sheetId="4" r:id="rId7"/>
  </sheets>
  <definedNames>
    <definedName name="_xlnm.Print_Area" localSheetId="6">ELENCO!$A$1:$V$188</definedName>
    <definedName name="_xlnm.Print_Area" localSheetId="0">SIESTAT_1_!$A$1:$Z$50</definedName>
    <definedName name="Excel_BuiltIn__FilterDatabase" localSheetId="6">ELENCO!$B$1:$C$1</definedName>
    <definedName name="Excel_BuiltIn__FilterDatabase_1_1">#REF!</definedName>
    <definedName name="Excel_BuiltIn__FilterDatabase_10">"$#RIF!.$B$1:$AH$289"</definedName>
    <definedName name="Excel_BuiltIn__FilterDatabase_10_1">ELENCO!$B$1:$AH$143</definedName>
    <definedName name="Excel_BuiltIn_Print_Area" localSheetId="2">SITREP!$A$1:$V$45</definedName>
    <definedName name="Excel_BuiltIn_Print_Area_1_1">#REF!</definedName>
    <definedName name="Excel_BuiltIn_Print_Area_1_1_1">"$#RIF!.$A$1:$K$257"</definedName>
    <definedName name="Excel_BuiltIn_Print_Area_10">"$#RIF!.$A$1:$BL$212"</definedName>
    <definedName name="Excel_BuiltIn_Print_Area_12">"$#RIF!.$A$1:$Q$83"</definedName>
    <definedName name="Excel_BuiltIn_Print_Area_13">"$#RIF!.$A$47:$E$114"</definedName>
    <definedName name="Excel_BuiltIn_Print_Area_3_1">#REF!</definedName>
    <definedName name="Excel_BuiltIn_Print_Area_3_1_1">#REF!</definedName>
    <definedName name="Excel_BuiltIn_Print_Area_3_1_1_1">SIESTAT_1_!$A$1:$Y$52</definedName>
    <definedName name="Excel_BuiltIn_Print_Area_4_1">#REF!</definedName>
    <definedName name="Excel_BuiltIn_Print_Area_4_1_1">SIESTAT_1_!$A$1:$Y$51</definedName>
    <definedName name="Excel_BuiltIn_Print_Area_5_1">#REF!</definedName>
    <definedName name="Excel_BuiltIn_Print_Area_5_1_1">#REF!</definedName>
    <definedName name="Excel_BuiltIn_Print_Area_6_1">#REF!</definedName>
    <definedName name="Excel_BuiltIn_Print_Area_6_1_1">"$ELENCO.$#RIF!$#RIF!:$#RIF!$#RIF!"</definedName>
    <definedName name="Excel_BuiltIn_Print_Area_7_1">#REF!</definedName>
    <definedName name="Excel_BuiltIn_Print_Area_7_1_1">#REF!</definedName>
    <definedName name="Excel_BuiltIn_Print_Area_7_1_1_1">"$#RIF!.$A$2:$I$24"</definedName>
    <definedName name="Excel_BuiltIn_Print_Area_9">"$#RIF!.$A$1:$I$257"</definedName>
    <definedName name="PRESENTE">"$#RIF!.$F$264"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I53" i="4" l="1"/>
  <c r="T3" i="4"/>
  <c r="T6" i="4"/>
  <c r="V6" i="4" s="1"/>
  <c r="T9" i="4"/>
  <c r="T13" i="4"/>
  <c r="V13" i="4" s="1"/>
  <c r="T16" i="4"/>
  <c r="V16" i="4" s="1"/>
  <c r="U16" i="4"/>
  <c r="T19" i="4"/>
  <c r="T22" i="4"/>
  <c r="T27" i="4"/>
  <c r="T28" i="4"/>
  <c r="T29" i="4"/>
  <c r="T30" i="4"/>
  <c r="T31" i="4"/>
  <c r="T32" i="4"/>
  <c r="T33" i="4"/>
  <c r="T34" i="4"/>
  <c r="T35" i="4"/>
  <c r="T36" i="4"/>
  <c r="T37" i="4"/>
  <c r="T38" i="4"/>
  <c r="T39" i="4"/>
  <c r="T40" i="4"/>
  <c r="T41" i="4"/>
  <c r="T42" i="4"/>
  <c r="T43" i="4"/>
  <c r="T44" i="4"/>
  <c r="T45" i="4"/>
  <c r="T46" i="4"/>
  <c r="T47" i="4"/>
  <c r="T48" i="4"/>
  <c r="U13" i="4"/>
  <c r="T49" i="4"/>
  <c r="U9" i="4"/>
  <c r="V9" i="4"/>
  <c r="T50" i="4"/>
  <c r="T51" i="4"/>
  <c r="U6" i="4" s="1"/>
  <c r="T52" i="4"/>
  <c r="U3" i="4"/>
  <c r="F53" i="4"/>
  <c r="G53" i="4"/>
  <c r="H53" i="4"/>
  <c r="J53" i="4"/>
  <c r="K53" i="4"/>
  <c r="L53" i="4"/>
  <c r="M53" i="4"/>
  <c r="N53" i="4"/>
  <c r="O53" i="4"/>
  <c r="P53" i="4"/>
  <c r="Q53" i="4"/>
  <c r="R53" i="4"/>
  <c r="S53" i="4"/>
  <c r="U53" i="4"/>
  <c r="U8" i="1"/>
  <c r="J8" i="1"/>
  <c r="T8" i="1"/>
  <c r="C20" i="1"/>
  <c r="V20" i="1"/>
  <c r="U20" i="1"/>
  <c r="T20" i="1"/>
  <c r="Q23" i="1"/>
  <c r="J23" i="1"/>
  <c r="F23" i="1"/>
  <c r="Y23" i="1"/>
  <c r="H27" i="1"/>
  <c r="U27" i="1"/>
  <c r="T27" i="1"/>
  <c r="Q28" i="1"/>
  <c r="Y28" i="1"/>
  <c r="C29" i="1"/>
  <c r="U29" i="1"/>
  <c r="J29" i="1"/>
  <c r="V30" i="1"/>
  <c r="Q30" i="1"/>
  <c r="U30" i="1"/>
  <c r="T30" i="1"/>
  <c r="F30" i="1"/>
  <c r="Y30" i="1"/>
  <c r="C31" i="1"/>
  <c r="V31" i="1"/>
  <c r="Q31" i="1"/>
  <c r="U31" i="1"/>
  <c r="J31" i="1"/>
  <c r="T31" i="1"/>
  <c r="F32" i="1"/>
  <c r="Q33" i="1"/>
  <c r="U33" i="1"/>
  <c r="J33" i="1"/>
  <c r="F33" i="1"/>
  <c r="U34" i="1"/>
  <c r="C35" i="1"/>
  <c r="Q35" i="1"/>
  <c r="U35" i="1"/>
  <c r="J35" i="1"/>
  <c r="C36" i="1"/>
  <c r="V36" i="1"/>
  <c r="U36" i="1"/>
  <c r="T36" i="1"/>
  <c r="Y36" i="1"/>
  <c r="V37" i="1"/>
  <c r="Q37" i="1"/>
  <c r="J37" i="1"/>
  <c r="T38" i="1"/>
  <c r="C38" i="1"/>
  <c r="U38" i="1"/>
  <c r="J38" i="1"/>
  <c r="V41" i="1"/>
  <c r="Q41" i="1"/>
  <c r="T41" i="1"/>
  <c r="AC5" i="2"/>
  <c r="D7" i="1"/>
  <c r="E7" i="1"/>
  <c r="AC6" i="2"/>
  <c r="AC7" i="2"/>
  <c r="D9" i="1"/>
  <c r="E9" i="1"/>
  <c r="AC8" i="2"/>
  <c r="D10" i="1"/>
  <c r="E10" i="1" s="1"/>
  <c r="AC9" i="2"/>
  <c r="D11" i="1"/>
  <c r="E11" i="1" s="1"/>
  <c r="AC10" i="2"/>
  <c r="D12" i="1"/>
  <c r="E12" i="1"/>
  <c r="AC11" i="2"/>
  <c r="D13" i="1" s="1"/>
  <c r="E13" i="1" s="1"/>
  <c r="AC12" i="2"/>
  <c r="D14" i="1" s="1"/>
  <c r="E14" i="1" s="1"/>
  <c r="AC13" i="2"/>
  <c r="D15" i="1"/>
  <c r="E15" i="1" s="1"/>
  <c r="AC14" i="2"/>
  <c r="D16" i="1"/>
  <c r="E16" i="1" s="1"/>
  <c r="AC15" i="2"/>
  <c r="D17" i="1" s="1"/>
  <c r="E17" i="1" s="1"/>
  <c r="AC16" i="2"/>
  <c r="D18" i="1" s="1"/>
  <c r="E18" i="1" s="1"/>
  <c r="AC17" i="2"/>
  <c r="D19" i="1"/>
  <c r="E19" i="1"/>
  <c r="AC18" i="2"/>
  <c r="AC19" i="2"/>
  <c r="D21" i="1"/>
  <c r="E21" i="1"/>
  <c r="AC20" i="2"/>
  <c r="D22" i="1" s="1"/>
  <c r="E22" i="1" s="1"/>
  <c r="AC21" i="2"/>
  <c r="AC22" i="2"/>
  <c r="D24" i="1"/>
  <c r="E24" i="1"/>
  <c r="AC23" i="2"/>
  <c r="D25" i="1" s="1"/>
  <c r="E25" i="1" s="1"/>
  <c r="AC24" i="2"/>
  <c r="AC25" i="2"/>
  <c r="AC26" i="2"/>
  <c r="AC27" i="2"/>
  <c r="AC28" i="2"/>
  <c r="AC29" i="2"/>
  <c r="AC30" i="2"/>
  <c r="AC31" i="2"/>
  <c r="AC32" i="2"/>
  <c r="AC33" i="2"/>
  <c r="AC34" i="2"/>
  <c r="AC35" i="2"/>
  <c r="AC36" i="2"/>
  <c r="AC37" i="2"/>
  <c r="AC38" i="2"/>
  <c r="AC39" i="2"/>
  <c r="AC40" i="2"/>
  <c r="D42" i="1"/>
  <c r="E42" i="1" s="1"/>
  <c r="C41" i="2"/>
  <c r="D41" i="2"/>
  <c r="E41" i="2"/>
  <c r="F41" i="2"/>
  <c r="I41" i="2"/>
  <c r="J41" i="2"/>
  <c r="K41" i="2"/>
  <c r="L41" i="2"/>
  <c r="M41" i="2"/>
  <c r="N41" i="2"/>
  <c r="O41" i="2"/>
  <c r="P41" i="2"/>
  <c r="Q41" i="2"/>
  <c r="R41" i="2"/>
  <c r="S41" i="2"/>
  <c r="T41" i="2"/>
  <c r="U41" i="2"/>
  <c r="V41" i="2"/>
  <c r="W41" i="2"/>
  <c r="X41" i="2"/>
  <c r="Y41" i="2"/>
  <c r="Z41" i="2"/>
  <c r="AA41" i="2"/>
  <c r="AB41" i="2"/>
  <c r="Z7" i="1"/>
  <c r="H8" i="1"/>
  <c r="Z9" i="1"/>
  <c r="Z10" i="1"/>
  <c r="Z11" i="1"/>
  <c r="Z12" i="1"/>
  <c r="Z13" i="1"/>
  <c r="Z14" i="1"/>
  <c r="Z15" i="1"/>
  <c r="Z16" i="1"/>
  <c r="Z17" i="1"/>
  <c r="Z18" i="1"/>
  <c r="Z19" i="1"/>
  <c r="H20" i="1"/>
  <c r="Z21" i="1"/>
  <c r="Z22" i="1"/>
  <c r="H23" i="1"/>
  <c r="Z24" i="1"/>
  <c r="Z25" i="1"/>
  <c r="D26" i="1"/>
  <c r="E26" i="1" s="1"/>
  <c r="Z26" i="1"/>
  <c r="H28" i="1"/>
  <c r="H29" i="1"/>
  <c r="H30" i="1"/>
  <c r="H31" i="1"/>
  <c r="H32" i="1"/>
  <c r="H33" i="1"/>
  <c r="H34" i="1"/>
  <c r="H35" i="1"/>
  <c r="F36" i="1"/>
  <c r="H36" i="1"/>
  <c r="F37" i="1"/>
  <c r="H37" i="1"/>
  <c r="F38" i="1"/>
  <c r="H38" i="1"/>
  <c r="C39" i="1"/>
  <c r="F39" i="1"/>
  <c r="H39" i="1"/>
  <c r="J39" i="1"/>
  <c r="Q39" i="1"/>
  <c r="T39" i="1"/>
  <c r="U39" i="1"/>
  <c r="V39" i="1"/>
  <c r="Y39" i="1"/>
  <c r="C40" i="1"/>
  <c r="H40" i="1"/>
  <c r="J40" i="1"/>
  <c r="Q40" i="1"/>
  <c r="T40" i="1"/>
  <c r="D40" i="1" s="1"/>
  <c r="E40" i="1" s="1"/>
  <c r="U40" i="1"/>
  <c r="V40" i="1"/>
  <c r="Y40" i="1"/>
  <c r="H41" i="1"/>
  <c r="Z42" i="1"/>
  <c r="G43" i="1"/>
  <c r="I43" i="1"/>
  <c r="K43" i="1"/>
  <c r="L43" i="1"/>
  <c r="M43" i="1"/>
  <c r="N43" i="1"/>
  <c r="O43" i="1"/>
  <c r="P43" i="1"/>
  <c r="R43" i="1"/>
  <c r="S43" i="1"/>
  <c r="W43" i="1"/>
  <c r="X43" i="1"/>
  <c r="N48" i="1"/>
  <c r="N49" i="1"/>
  <c r="B50" i="1"/>
  <c r="C50" i="1"/>
  <c r="F50" i="1"/>
  <c r="J50" i="1"/>
  <c r="F35" i="1"/>
  <c r="C8" i="1"/>
  <c r="F20" i="1"/>
  <c r="Y20" i="1"/>
  <c r="Y29" i="1"/>
  <c r="Q20" i="1"/>
  <c r="T33" i="1"/>
  <c r="Y33" i="1"/>
  <c r="Q27" i="1"/>
  <c r="C32" i="1"/>
  <c r="V29" i="1"/>
  <c r="V23" i="1"/>
  <c r="J27" i="1"/>
  <c r="T35" i="1"/>
  <c r="J30" i="1"/>
  <c r="J32" i="1"/>
  <c r="T29" i="1"/>
  <c r="Y35" i="1"/>
  <c r="Y34" i="1"/>
  <c r="C33" i="1"/>
  <c r="V8" i="1"/>
  <c r="T37" i="1"/>
  <c r="F18" i="4"/>
  <c r="T32" i="1"/>
  <c r="C34" i="1"/>
  <c r="Q34" i="1"/>
  <c r="V33" i="1"/>
  <c r="V32" i="1"/>
  <c r="J28" i="1"/>
  <c r="U23" i="1"/>
  <c r="J41" i="1"/>
  <c r="Y32" i="1"/>
  <c r="Q29" i="1"/>
  <c r="V27" i="1"/>
  <c r="J34" i="1"/>
  <c r="C37" i="1"/>
  <c r="U41" i="1"/>
  <c r="C4" i="1"/>
  <c r="Q36" i="1"/>
  <c r="N50" i="1" l="1"/>
  <c r="Q38" i="1"/>
  <c r="Z38" i="1" s="1"/>
  <c r="Q8" i="1"/>
  <c r="V34" i="1"/>
  <c r="V43" i="1" s="1"/>
  <c r="T28" i="1"/>
  <c r="Z28" i="1" s="1"/>
  <c r="F34" i="1"/>
  <c r="D34" i="1" s="1"/>
  <c r="E34" i="1" s="1"/>
  <c r="D20" i="1"/>
  <c r="E20" i="1" s="1"/>
  <c r="U32" i="1"/>
  <c r="D31" i="1"/>
  <c r="E31" i="1" s="1"/>
  <c r="J36" i="1"/>
  <c r="Z36" i="1" s="1"/>
  <c r="C27" i="1"/>
  <c r="Y37" i="1"/>
  <c r="Z37" i="1" s="1"/>
  <c r="V35" i="1"/>
  <c r="D35" i="1" s="1"/>
  <c r="E35" i="1" s="1"/>
  <c r="C30" i="1"/>
  <c r="C28" i="1"/>
  <c r="Y8" i="1"/>
  <c r="V22" i="4"/>
  <c r="Z39" i="1"/>
  <c r="Y38" i="1"/>
  <c r="Z32" i="1"/>
  <c r="D32" i="1"/>
  <c r="E32" i="1" s="1"/>
  <c r="H43" i="1"/>
  <c r="Y41" i="1"/>
  <c r="D41" i="1" s="1"/>
  <c r="Y31" i="1"/>
  <c r="Z31" i="1" s="1"/>
  <c r="D29" i="1"/>
  <c r="E29" i="1" s="1"/>
  <c r="V38" i="1"/>
  <c r="U19" i="4"/>
  <c r="V19" i="4" s="1"/>
  <c r="U28" i="1"/>
  <c r="U43" i="1" s="1"/>
  <c r="D38" i="1"/>
  <c r="E38" i="1" s="1"/>
  <c r="U37" i="1"/>
  <c r="D37" i="1" s="1"/>
  <c r="E37" i="1" s="1"/>
  <c r="Z29" i="1"/>
  <c r="D39" i="1"/>
  <c r="E39" i="1" s="1"/>
  <c r="V3" i="4"/>
  <c r="V24" i="4" s="1"/>
  <c r="J18" i="4" s="1"/>
  <c r="N18" i="4" s="1"/>
  <c r="Z40" i="1"/>
  <c r="AC41" i="2"/>
  <c r="Y27" i="1"/>
  <c r="Z27" i="1" s="1"/>
  <c r="J20" i="1"/>
  <c r="D33" i="1"/>
  <c r="E33" i="1" s="1"/>
  <c r="D30" i="1"/>
  <c r="Z30" i="1"/>
  <c r="V28" i="1"/>
  <c r="Q32" i="1"/>
  <c r="T34" i="1"/>
  <c r="Z33" i="1"/>
  <c r="T23" i="1"/>
  <c r="Z23" i="1" s="1"/>
  <c r="C23" i="1"/>
  <c r="U22" i="4"/>
  <c r="T53" i="4"/>
  <c r="C41" i="1"/>
  <c r="D28" i="1" l="1"/>
  <c r="E28" i="1" s="1"/>
  <c r="Z41" i="1"/>
  <c r="Q43" i="1"/>
  <c r="Z35" i="1"/>
  <c r="D23" i="1"/>
  <c r="E23" i="1" s="1"/>
  <c r="E41" i="1"/>
  <c r="F43" i="1"/>
  <c r="Z34" i="1"/>
  <c r="T43" i="1"/>
  <c r="D36" i="1"/>
  <c r="E36" i="1" s="1"/>
  <c r="C43" i="1"/>
  <c r="Z8" i="1"/>
  <c r="Z43" i="1" s="1"/>
  <c r="D8" i="1"/>
  <c r="J43" i="1"/>
  <c r="Z20" i="1"/>
  <c r="Y43" i="1"/>
  <c r="D27" i="1"/>
  <c r="E27" i="1" s="1"/>
  <c r="E30" i="1"/>
  <c r="D43" i="1" l="1"/>
  <c r="E8" i="1"/>
  <c r="E43" i="1" s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DMNCLR81D26A089G</author>
    <author>fabrizio.mangia1</author>
    <author>SPRCMR88E11G273E</author>
    <author>fabio.fricano</author>
    <author>3cp-ufcp2</author>
    <author>Grd.Sc. Casimiro SPERA</author>
    <author>1cp-ufcp</author>
    <author>1°Grd. Carlo Ernesto DAMANTI</author>
  </authors>
  <commentList>
    <comment ref="E5" authorId="0" shapeId="0" xr:uid="{FD26C4BF-B35B-4695-B99F-F2E1216993CB}">
      <text>
        <r>
          <rPr>
            <b/>
            <sz val="9"/>
            <color indexed="81"/>
            <rFont val="Tahoma"/>
            <family val="2"/>
          </rPr>
          <t>CARDIELLO
D'AMATO
DI ANTONIO
COLUCCI 
MATRANGA
CONTE
RUBIU
ASTARITA
CANZOLINO
CALIA
ABRUSCATO
CARROCIO
RECCHIA
VETRONE
CERCARELLI
GARASTO
MASTRELIA
SANTAMARIA
CASINELLI
IMPERATO</t>
        </r>
      </text>
    </comment>
    <comment ref="F5" authorId="0" shapeId="0" xr:uid="{54025894-24F9-4E6C-A6E6-E2B6B1B27C16}">
      <text>
        <r>
          <rPr>
            <b/>
            <sz val="9"/>
            <color indexed="81"/>
            <rFont val="Tahoma"/>
            <family val="2"/>
          </rPr>
          <t>ANDRETTI
STAFFIERO 
CIAMPA
LOMANTO
TRESCA
FINAZZO</t>
        </r>
      </text>
    </comment>
    <comment ref="G5" authorId="0" shapeId="0" xr:uid="{CDDA65B2-098F-4D39-8278-FC78E6ED3C3A}">
      <text/>
    </comment>
    <comment ref="H5" authorId="0" shapeId="0" xr:uid="{E08AAA2F-B1F0-44E4-8C15-59E95C4F4811}">
      <text/>
    </comment>
    <comment ref="I5" authorId="0" shapeId="0" xr:uid="{48AA1392-F180-4B33-9189-F57A525B3296}">
      <text>
        <r>
          <rPr>
            <b/>
            <sz val="9"/>
            <color indexed="81"/>
            <rFont val="Tahoma"/>
            <family val="2"/>
          </rPr>
          <t>RUGGIERO
AMBROSIO
MARIANI</t>
        </r>
      </text>
    </comment>
    <comment ref="J5" authorId="0" shapeId="0" xr:uid="{5A639390-4DD7-42F4-A8FF-3EA24E52206C}">
      <text>
        <r>
          <rPr>
            <b/>
            <sz val="9"/>
            <color indexed="81"/>
            <rFont val="Tahoma"/>
            <family val="2"/>
          </rPr>
          <t>ANZINI 
TALBI
VIOLA</t>
        </r>
      </text>
    </comment>
    <comment ref="K5" authorId="1" shapeId="0" xr:uid="{A787AD41-B51A-4F69-B8A6-FD4BA649DE0F}">
      <text>
        <r>
          <rPr>
            <b/>
            <sz val="9"/>
            <color indexed="81"/>
            <rFont val="Tahoma"/>
            <family val="2"/>
          </rPr>
          <t>TROVATO
PIACENTINI
ZACCARIA
TURA
CALANNI BILLA
POLVERINO
ROMANO
ALAGNA</t>
        </r>
      </text>
    </comment>
    <comment ref="L5" authorId="0" shapeId="0" xr:uid="{FE68F230-3CFC-48F0-9D07-3EABC8E5B9D0}">
      <text>
        <r>
          <rPr>
            <b/>
            <sz val="9"/>
            <color indexed="81"/>
            <rFont val="Tahoma"/>
            <family val="2"/>
          </rPr>
          <t xml:space="preserve">
DE LUCA
TATTILO
RINALDI 
COLUCCIA</t>
        </r>
      </text>
    </comment>
    <comment ref="E8" authorId="0" shapeId="0" xr:uid="{234F607E-89C4-435E-A5A4-87DEEAAE17A3}">
      <text>
        <r>
          <rPr>
            <b/>
            <sz val="9"/>
            <color indexed="81"/>
            <rFont val="Tahoma"/>
            <family val="2"/>
          </rPr>
          <t xml:space="preserve">
DANESE
GRASSIA
BACCARI
SABATINI
CECERE
BALDASSARRE
RERA
DE ROSA
GARGIULO
STENDARDO</t>
        </r>
      </text>
    </comment>
    <comment ref="F8" authorId="2" shapeId="0" xr:uid="{4FCECAAD-BD61-41C1-9805-DEDA1043C976}">
      <text>
        <r>
          <rPr>
            <b/>
            <sz val="9"/>
            <color indexed="81"/>
            <rFont val="Tahoma"/>
            <family val="2"/>
          </rPr>
          <t>PASQUARELLO
CARRIERI</t>
        </r>
      </text>
    </comment>
    <comment ref="G8" authorId="1" shapeId="0" xr:uid="{81933F70-A918-4B93-B734-D2F04E05A384}">
      <text>
        <r>
          <rPr>
            <b/>
            <sz val="9"/>
            <color indexed="81"/>
            <rFont val="Tahoma"/>
            <family val="2"/>
          </rPr>
          <t xml:space="preserve">
CACCAMO
DEL PRETE
FRANCO
PELLICCIARI
REGINA
SCIPIO
SPERA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b/>
            <sz val="9"/>
            <color indexed="81"/>
            <rFont val="Tahoma"/>
            <family val="2"/>
          </rPr>
          <t>BARONCINI
SCOGNAMIGLIO
MICCOLI
BRATTELLI
CALAFATO
BUCCINO 
ZAPPULLA</t>
        </r>
      </text>
    </comment>
    <comment ref="H8" authorId="0" shapeId="0" xr:uid="{E8EAEE00-FCFD-4B75-9042-E5842CA100AA}">
      <text>
        <r>
          <rPr>
            <b/>
            <sz val="9"/>
            <color indexed="81"/>
            <rFont val="Tahoma"/>
            <family val="2"/>
          </rPr>
          <t>DE PRISCO
CIPRIANI
ZEFI</t>
        </r>
      </text>
    </comment>
    <comment ref="I8" authorId="1" shapeId="0" xr:uid="{152BC8E3-B2B6-48B0-9CEB-678CBBE230D0}">
      <text>
        <r>
          <rPr>
            <b/>
            <sz val="9"/>
            <color indexed="81"/>
            <rFont val="Tahoma"/>
            <family val="2"/>
          </rPr>
          <t xml:space="preserve">
ANTONACCI
BRUNO
LATINI
</t>
        </r>
        <r>
          <rPr>
            <b/>
            <sz val="9"/>
            <color indexed="81"/>
            <rFont val="Tahoma"/>
            <family val="2"/>
          </rPr>
          <t>MANCINI
MARTELLO
MILONE
ALLEGRUCCI
MANZI
FORLINI
IORIO
GUARNIERI 
CIAPETTI</t>
        </r>
      </text>
    </comment>
    <comment ref="J8" authorId="3" shapeId="0" xr:uid="{CCBCD9F5-2CB3-4514-8AB7-E26665643B55}">
      <text>
        <r>
          <rPr>
            <sz val="9"/>
            <color indexed="81"/>
            <rFont val="Tahoma"/>
            <family val="2"/>
          </rPr>
          <t xml:space="preserve">
CESARO</t>
        </r>
      </text>
    </comment>
    <comment ref="K8" authorId="1" shapeId="0" xr:uid="{B05F4E5F-000F-4466-9702-B00B31540B3A}">
      <text>
        <r>
          <rPr>
            <b/>
            <sz val="9"/>
            <color indexed="81"/>
            <rFont val="Tahoma"/>
            <family val="2"/>
          </rPr>
          <t xml:space="preserve">FERRARO
FRICANO
PALOZZI
PIERANTOZZI
FRAMMARTINO
LUCIOTTI
SEVERONI
DAMANTI
GATTO
GULLO
SERAFINI
CHIARUCCI
</t>
        </r>
      </text>
    </comment>
    <comment ref="L8" authorId="2" shapeId="0" xr:uid="{D5098693-B4AC-4CDD-9596-2179A94FE8D2}">
      <text>
        <r>
          <rPr>
            <b/>
            <sz val="9"/>
            <color indexed="81"/>
            <rFont val="Tahoma"/>
            <family val="2"/>
          </rPr>
          <t xml:space="preserve">
STIVALA</t>
        </r>
      </text>
    </comment>
    <comment ref="M8" authorId="1" shapeId="0" xr:uid="{A1D07D6E-1B13-49DF-ADFC-45B573344DBC}">
      <text>
        <r>
          <rPr>
            <sz val="9"/>
            <color indexed="81"/>
            <rFont val="Tahoma"/>
            <family val="2"/>
          </rPr>
          <t>CAPORUSCIO
ARGIOLAS
COSTANZO
MACCARRI
MANTELLINI 
NACLERIO
ROMANUCCI
AMOROSO
COSTANZO Sandro
DI MARIA 
SCORDARI 
ACCARDO 
PEZZOLLA 
PIZZO FRANCESCO</t>
        </r>
      </text>
    </comment>
    <comment ref="O8" authorId="0" shapeId="0" xr:uid="{D22227AC-E15D-491C-AE1B-11755967B80A}">
      <text>
        <r>
          <rPr>
            <b/>
            <sz val="9"/>
            <color indexed="81"/>
            <rFont val="Tahoma"/>
            <family val="2"/>
          </rPr>
          <t>PAGANO</t>
        </r>
      </text>
    </comment>
    <comment ref="Q8" authorId="1" shapeId="0" xr:uid="{413F60A3-0AF3-4339-A871-D40B54BDA9E0}">
      <text>
        <r>
          <rPr>
            <sz val="9"/>
            <color indexed="81"/>
            <rFont val="Times New Roman"/>
            <family val="1"/>
          </rPr>
          <t>DE MARINO
LAUDAZI
ORLACCHIO
AUTIERO
SILVERI
CALVANESE
MARCELLO
PERUGINI</t>
        </r>
      </text>
    </comment>
    <comment ref="E12" authorId="0" shapeId="0" xr:uid="{2D4FA2C7-A524-49D8-BE85-A2EF52441F8A}">
      <text>
        <r>
          <rPr>
            <b/>
            <sz val="9"/>
            <color indexed="81"/>
            <rFont val="Tahoma"/>
            <family val="2"/>
          </rPr>
          <t>TARANTINO
SALERNITANO
ROSSETTI
TORTORA
MONTEFUSCO</t>
        </r>
      </text>
    </comment>
    <comment ref="G12" authorId="0" shapeId="0" xr:uid="{DC09E262-9ADC-42CC-B899-A5D1FE662726}">
      <text>
        <r>
          <rPr>
            <b/>
            <sz val="9"/>
            <color indexed="81"/>
            <rFont val="Tahoma"/>
            <family val="2"/>
          </rPr>
          <t>PETROSELLI
BUONANNO
CARDONE</t>
        </r>
      </text>
    </comment>
    <comment ref="I12" authorId="0" shapeId="0" xr:uid="{7E5293A8-01A2-419E-9F12-4B0F92EC129E}">
      <text/>
    </comment>
    <comment ref="K12" authorId="1" shapeId="0" xr:uid="{0A1FC58D-B803-4E34-9044-D9B496D4E3D7}">
      <text>
        <r>
          <rPr>
            <b/>
            <sz val="9"/>
            <color indexed="81"/>
            <rFont val="Tahoma"/>
            <family val="2"/>
          </rPr>
          <t xml:space="preserve">
MALATESTA</t>
        </r>
      </text>
    </comment>
    <comment ref="E15" authorId="2" shapeId="0" xr:uid="{F4B1D8DA-5371-4A04-BE3E-4B1106BAA5B2}">
      <text>
        <r>
          <rPr>
            <b/>
            <sz val="9"/>
            <color indexed="81"/>
            <rFont val="Tahoma"/>
            <family val="2"/>
          </rPr>
          <t xml:space="preserve">
CERICA
CANENSI</t>
        </r>
      </text>
    </comment>
    <comment ref="I15" authorId="0" shapeId="0" xr:uid="{AFDA94EF-82C1-4B66-99AE-DBE8CBCF6CC8}">
      <text>
        <r>
          <rPr>
            <b/>
            <sz val="9"/>
            <color indexed="81"/>
            <rFont val="Tahoma"/>
            <family val="2"/>
          </rPr>
          <t xml:space="preserve">
DI GENNARO Michele</t>
        </r>
      </text>
    </comment>
    <comment ref="K15" authorId="4" shapeId="0" xr:uid="{41094819-C769-489D-9B83-5945A144A75B}">
      <text>
        <r>
          <rPr>
            <b/>
            <sz val="9"/>
            <color indexed="81"/>
            <rFont val="Tahoma"/>
            <family val="2"/>
          </rPr>
          <t>CACCAMO
CORRADO</t>
        </r>
      </text>
    </comment>
    <comment ref="P15" authorId="3" shapeId="0" xr:uid="{55726BFB-27D0-48BC-8EB1-2F27C6BFF321}">
      <text>
        <r>
          <rPr>
            <b/>
            <sz val="9"/>
            <color indexed="81"/>
            <rFont val="Tahoma"/>
            <family val="2"/>
          </rPr>
          <t>DI CAMILLO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G30" authorId="3" shapeId="0" xr:uid="{4D665833-E91D-4C10-888C-9A505E5F4678}">
      <text>
        <r>
          <rPr>
            <b/>
            <sz val="9"/>
            <color indexed="81"/>
            <rFont val="Tahoma"/>
            <family val="2"/>
          </rPr>
          <t>CORRADO (KOSOVO)</t>
        </r>
      </text>
    </comment>
    <comment ref="H30" authorId="5" shapeId="0" xr:uid="{2EDC6C2E-F992-4282-8EAF-9DEFAEAD8FF3}">
      <text>
        <r>
          <rPr>
            <b/>
            <sz val="9"/>
            <color indexed="81"/>
            <rFont val="Tahoma"/>
            <family val="2"/>
          </rPr>
          <t xml:space="preserve">
</t>
        </r>
      </text>
    </comment>
    <comment ref="I30" authorId="2" shapeId="0" xr:uid="{79EBA194-ADE2-4C7B-A9FB-5619B4A9CCFD}">
      <text>
        <r>
          <rPr>
            <sz val="9"/>
            <color indexed="81"/>
            <rFont val="Tahoma"/>
            <family val="2"/>
          </rPr>
          <t xml:space="preserve">
</t>
        </r>
      </text>
    </comment>
    <comment ref="H31" authorId="2" shapeId="0" xr:uid="{0B9C3B5E-4B98-4A51-9071-DD04DC009CD8}">
      <text/>
    </comment>
    <comment ref="P31" authorId="5" shapeId="0" xr:uid="{CF6D2751-07E7-4F01-BF58-8EBE2B24AF19}">
      <text>
        <r>
          <rPr>
            <b/>
            <sz val="9"/>
            <color indexed="81"/>
            <rFont val="Tahoma"/>
            <family val="2"/>
          </rPr>
          <t xml:space="preserve">
</t>
        </r>
      </text>
    </comment>
    <comment ref="F33" authorId="0" shapeId="0" xr:uid="{88D5ABC6-F955-4259-A289-96F9BB64B157}">
      <text/>
    </comment>
    <comment ref="H33" authorId="5" shapeId="0" xr:uid="{0CC7D120-0286-4CD0-A922-7DF4184783A7}">
      <text/>
    </comment>
    <comment ref="P33" authorId="3" shapeId="0" xr:uid="{D59F5ECD-3F60-4FF0-8FAC-576B569257E2}">
      <text>
        <r>
          <rPr>
            <b/>
            <sz val="9"/>
            <color indexed="81"/>
            <rFont val="Tahoma"/>
            <family val="2"/>
          </rPr>
          <t xml:space="preserve"> </t>
        </r>
      </text>
    </comment>
    <comment ref="G37" authorId="5" shapeId="0" xr:uid="{EE7471AF-4988-4317-A1DB-67ED083A4A13}">
      <text>
        <r>
          <rPr>
            <b/>
            <sz val="9"/>
            <color indexed="81"/>
            <rFont val="Tahoma"/>
            <family val="2"/>
          </rPr>
          <t>MALATESTA (LIBIA)</t>
        </r>
      </text>
    </comment>
    <comment ref="H37" authorId="2" shapeId="0" xr:uid="{BA60EA99-5165-4047-A9BA-9ED8BF29441B}">
      <text>
        <r>
          <rPr>
            <sz val="9"/>
            <color indexed="81"/>
            <rFont val="Tahoma"/>
            <family val="2"/>
          </rPr>
          <t xml:space="preserve">
</t>
        </r>
      </text>
    </comment>
    <comment ref="I37" authorId="0" shapeId="0" xr:uid="{E382C188-59C7-4F4D-B3CE-3A008E216165}">
      <text/>
    </comment>
    <comment ref="G39" authorId="2" shapeId="0" xr:uid="{E408F288-B648-4819-ACE3-D6D92D7FE640}">
      <text>
        <r>
          <rPr>
            <b/>
            <sz val="9"/>
            <color indexed="81"/>
            <rFont val="Tahoma"/>
            <family val="2"/>
          </rPr>
          <t xml:space="preserve">
PETROSELLI (BOSNIA)</t>
        </r>
      </text>
    </comment>
    <comment ref="H39" authorId="5" shapeId="0" xr:uid="{7E4449F6-2A15-4708-898D-2A757684C6D6}">
      <text/>
    </comment>
    <comment ref="I39" authorId="2" shapeId="0" xr:uid="{18AD2166-3EAC-470E-8123-070827722800}">
      <text>
        <r>
          <rPr>
            <b/>
            <sz val="9"/>
            <color indexed="81"/>
            <rFont val="Tahoma"/>
            <family val="2"/>
          </rPr>
          <t xml:space="preserve">
</t>
        </r>
      </text>
    </comment>
    <comment ref="G40" authorId="2" shapeId="0" xr:uid="{F8C90D4A-AB09-4593-85DE-AF2D97826445}">
      <text>
        <r>
          <rPr>
            <b/>
            <sz val="9"/>
            <color indexed="81"/>
            <rFont val="Tahoma"/>
            <family val="2"/>
          </rPr>
          <t xml:space="preserve">
TARANTINO Angelo(LETTONIA)
SALERNITANO Mario (BULGARIA)</t>
        </r>
      </text>
    </comment>
    <comment ref="H40" authorId="2" shapeId="0" xr:uid="{04904BAD-A6E1-4B43-AA2C-79B325F4AB0A}">
      <text>
        <r>
          <rPr>
            <b/>
            <sz val="9"/>
            <color indexed="81"/>
            <rFont val="Tahoma"/>
            <family val="2"/>
          </rPr>
          <t xml:space="preserve">
ROSSETTI Marco
</t>
        </r>
      </text>
    </comment>
    <comment ref="I40" authorId="2" shapeId="0" xr:uid="{0DEEBBEB-B4B5-4A46-9550-FAD633984500}">
      <text>
        <r>
          <rPr>
            <b/>
            <sz val="9"/>
            <color indexed="81"/>
            <rFont val="Tahoma"/>
            <family val="2"/>
          </rPr>
          <t xml:space="preserve">
</t>
        </r>
      </text>
    </comment>
    <comment ref="P40" authorId="2" shapeId="0" xr:uid="{99653430-5076-44C4-A4DB-F31588F65693}">
      <text/>
    </comment>
    <comment ref="G41" authorId="6" shapeId="0" xr:uid="{B7AC22FE-FC90-4ED2-9645-5AA8BC3E8190}">
      <text>
        <r>
          <rPr>
            <sz val="9"/>
            <color indexed="81"/>
            <rFont val="Tahoma"/>
            <family val="2"/>
          </rPr>
          <t xml:space="preserve">
SILVERI (BOSNIA)
PERUGINI LIBIA
ORLACCHIO Angelo (BULGARIA)
LAUDAZI (IRAQ)
DE MARINO (IRAQ)</t>
        </r>
      </text>
    </comment>
    <comment ref="H41" authorId="0" shapeId="0" xr:uid="{20F0C2C4-163C-400B-A68B-E85014169104}">
      <text>
        <r>
          <rPr>
            <b/>
            <sz val="9"/>
            <color indexed="81"/>
            <rFont val="Tahoma"/>
            <family val="2"/>
          </rPr>
          <t xml:space="preserve">MARCELLO
</t>
        </r>
      </text>
    </comment>
    <comment ref="I41" authorId="2" shapeId="0" xr:uid="{C9665DCD-3C4A-4562-8E91-CC9AAADD5A67}">
      <text>
        <r>
          <rPr>
            <b/>
            <sz val="9"/>
            <color indexed="81"/>
            <rFont val="Tahoma"/>
            <family val="2"/>
          </rPr>
          <t xml:space="preserve">
</t>
        </r>
      </text>
    </comment>
    <comment ref="P41" authorId="2" shapeId="0" xr:uid="{F8CBB0B3-44F6-4D59-B74B-C60C964F9752}">
      <text/>
    </comment>
    <comment ref="G42" authorId="3" shapeId="0" xr:uid="{5ADC63BF-A4A7-4CB4-8EAB-CC2F7E45C8EB}">
      <text>
        <r>
          <rPr>
            <b/>
            <sz val="9"/>
            <color indexed="81"/>
            <rFont val="Tahoma"/>
            <family val="2"/>
          </rPr>
          <t xml:space="preserve">
PAGANO (KOSOVO)</t>
        </r>
      </text>
    </comment>
    <comment ref="H42" authorId="2" shapeId="0" xr:uid="{DC33FC12-B984-470B-966B-51F150C205F0}">
      <text/>
    </comment>
    <comment ref="F43" authorId="5" shapeId="0" xr:uid="{5AF73759-BB7B-472C-B2CF-295B6648BB37}">
      <text/>
    </comment>
    <comment ref="G43" authorId="3" shapeId="0" xr:uid="{EB90D803-7E2C-40CF-9078-C2FFB65653A1}">
      <text>
        <r>
          <rPr>
            <sz val="9"/>
            <color indexed="81"/>
            <rFont val="Tahoma"/>
            <family val="2"/>
          </rPr>
          <t xml:space="preserve">
ROMANUCCI</t>
        </r>
      </text>
    </comment>
    <comment ref="H43" authorId="2" shapeId="0" xr:uid="{7FE4E72F-C5E6-4646-A274-0F3FB5C00818}">
      <text>
        <r>
          <rPr>
            <b/>
            <sz val="9"/>
            <color indexed="81"/>
            <rFont val="Tahoma"/>
            <family val="2"/>
          </rPr>
          <t xml:space="preserve">
NACLERIO
ACCARDO Paolo
MACCARRI Andrea
DI MARIA Giovanni
</t>
        </r>
      </text>
    </comment>
    <comment ref="I43" authorId="2" shapeId="0" xr:uid="{D929BF3D-47E4-4F5C-9BE5-8011C25BF4B5}">
      <text>
        <r>
          <rPr>
            <b/>
            <sz val="9"/>
            <color indexed="81"/>
            <rFont val="Tahoma"/>
            <family val="2"/>
          </rPr>
          <t xml:space="preserve">
</t>
        </r>
      </text>
    </comment>
    <comment ref="P43" authorId="2" shapeId="0" xr:uid="{57AD48FF-79BE-44E1-88F7-6434E9FF26F6}">
      <text>
        <r>
          <rPr>
            <b/>
            <sz val="9"/>
            <color indexed="81"/>
            <rFont val="Tahoma"/>
            <family val="2"/>
          </rPr>
          <t xml:space="preserve">
ARGIOLAS</t>
        </r>
      </text>
    </comment>
    <comment ref="F44" authorId="5" shapeId="0" xr:uid="{7D972A11-74D8-499E-9CF2-EFB706154515}">
      <text>
        <r>
          <rPr>
            <sz val="9"/>
            <color indexed="81"/>
            <rFont val="Tahoma"/>
            <family val="2"/>
          </rPr>
          <t xml:space="preserve">
</t>
        </r>
      </text>
    </comment>
    <comment ref="G44" authorId="3" shapeId="0" xr:uid="{09D9773E-5C7C-49EE-91A2-46CBA3E5A408}">
      <text>
        <r>
          <rPr>
            <sz val="9"/>
            <color indexed="81"/>
            <rFont val="Tahoma"/>
            <family val="2"/>
          </rPr>
          <t xml:space="preserve">
FRAMMARTINO (KOSOVO)
SERAFINI IRAQ
</t>
        </r>
      </text>
    </comment>
    <comment ref="H44" authorId="2" shapeId="0" xr:uid="{58A67FCD-3A23-43D6-A19F-5451AC47434F}">
      <text>
        <r>
          <rPr>
            <b/>
            <sz val="9"/>
            <color indexed="81"/>
            <rFont val="Tahoma"/>
            <family val="2"/>
          </rPr>
          <t xml:space="preserve"> 
GULLO
CHIARUCCI
</t>
        </r>
      </text>
    </comment>
    <comment ref="I44" authorId="2" shapeId="0" xr:uid="{0C11C4A1-3A3D-4AF3-97AE-14AD072C94A7}">
      <text>
        <r>
          <rPr>
            <b/>
            <sz val="9"/>
            <color indexed="81"/>
            <rFont val="Tahoma"/>
            <family val="2"/>
          </rPr>
          <t xml:space="preserve">
STIVALA Marzia
</t>
        </r>
      </text>
    </comment>
    <comment ref="P44" authorId="2" shapeId="0" xr:uid="{097FAA59-13E5-405F-AFF1-166E775FE4A0}">
      <text/>
    </comment>
    <comment ref="F45" authorId="5" shapeId="0" xr:uid="{50F76422-1208-4440-9A92-F89F1E86EBD5}">
      <text>
        <r>
          <rPr>
            <b/>
            <sz val="9"/>
            <color indexed="81"/>
            <rFont val="Tahoma"/>
            <family val="2"/>
          </rPr>
          <t xml:space="preserve">
</t>
        </r>
      </text>
    </comment>
    <comment ref="G45" authorId="2" shapeId="0" xr:uid="{033A1920-73CE-4DB4-9872-9A203B350412}">
      <text>
        <r>
          <rPr>
            <b/>
            <sz val="9"/>
            <color indexed="81"/>
            <rFont val="Tahoma"/>
            <family val="2"/>
          </rPr>
          <t xml:space="preserve">
MARTELLO (KOSOVO)
IORIO (BOSNIA)
GUARNIERI</t>
        </r>
      </text>
    </comment>
    <comment ref="H45" authorId="2" shapeId="0" xr:uid="{2FECE9EF-F681-4C05-8C70-F1DFA894C250}">
      <text>
        <r>
          <rPr>
            <b/>
            <sz val="9"/>
            <color indexed="81"/>
            <rFont val="Tahoma"/>
            <family val="2"/>
          </rPr>
          <t xml:space="preserve">
MANCINI Daniele
BRUNO Antonio
CESARO</t>
        </r>
      </text>
    </comment>
    <comment ref="I45" authorId="2" shapeId="0" xr:uid="{A50A46E1-138F-4A11-9242-1241AC88F791}">
      <text>
        <r>
          <rPr>
            <sz val="9"/>
            <color indexed="81"/>
            <rFont val="Tahoma"/>
            <family val="2"/>
          </rPr>
          <t xml:space="preserve">
</t>
        </r>
      </text>
    </comment>
    <comment ref="P45" authorId="2" shapeId="0" xr:uid="{72037DA0-13E0-4613-9DC7-D8D7CE750424}">
      <text/>
    </comment>
    <comment ref="F46" authorId="5" shapeId="0" xr:uid="{EBE4D3C2-4613-495A-AC97-BA7164A3E9E6}">
      <text/>
    </comment>
    <comment ref="G46" authorId="2" shapeId="0" xr:uid="{64F73A41-3182-40B5-85EC-4B0E152B197E}">
      <text>
        <r>
          <rPr>
            <b/>
            <sz val="9"/>
            <color indexed="81"/>
            <rFont val="Tahoma"/>
            <family val="2"/>
          </rPr>
          <t xml:space="preserve">
DEL PRETE (LIBIA)</t>
        </r>
      </text>
    </comment>
    <comment ref="H46" authorId="0" shapeId="0" xr:uid="{B59F88F1-306A-4336-AED0-2704B4BC45E0}">
      <text>
        <r>
          <rPr>
            <b/>
            <sz val="9"/>
            <color indexed="81"/>
            <rFont val="Tahoma"/>
            <family val="2"/>
          </rPr>
          <t>CACCAMO 
FRANCO</t>
        </r>
      </text>
    </comment>
    <comment ref="I46" authorId="0" shapeId="0" xr:uid="{A39D5E72-5D21-4BFE-B452-470F935C000A}">
      <text>
        <r>
          <rPr>
            <sz val="9"/>
            <color indexed="81"/>
            <rFont val="Tahoma"/>
            <family val="2"/>
          </rPr>
          <t xml:space="preserve">
SCIPIO Alessio 
 PELLICCIARI
</t>
        </r>
      </text>
    </comment>
    <comment ref="P46" authorId="0" shapeId="0" xr:uid="{B7544FE3-1B20-44AC-B448-787733057B65}">
      <text>
        <r>
          <rPr>
            <b/>
            <sz val="9"/>
            <color indexed="81"/>
            <rFont val="Tahoma"/>
            <family val="2"/>
          </rPr>
          <t xml:space="preserve">
</t>
        </r>
      </text>
    </comment>
    <comment ref="R46" authorId="7" shapeId="0" xr:uid="{C8296552-1529-4C31-AA28-805C4924C972}">
      <text>
        <r>
          <rPr>
            <b/>
            <sz val="9"/>
            <color indexed="81"/>
            <rFont val="Tahoma"/>
            <family val="2"/>
          </rPr>
          <t>1°Grd. Carlo Ernesto DAMANTI:</t>
        </r>
        <r>
          <rPr>
            <sz val="9"/>
            <color indexed="81"/>
            <rFont val="Tahoma"/>
            <family val="2"/>
          </rPr>
          <t xml:space="preserve">
BARONCINI</t>
        </r>
      </text>
    </comment>
    <comment ref="G47" authorId="2" shapeId="0" xr:uid="{8A55DA0D-EFCE-48EA-B817-0BF9F25447CB}">
      <text>
        <r>
          <rPr>
            <b/>
            <sz val="9"/>
            <color indexed="81"/>
            <rFont val="Tahoma"/>
            <family val="2"/>
          </rPr>
          <t xml:space="preserve">
GRASSIA (LIBIA)
GARGIULO (LIBIA)
SABATINI (KOSOVO)
BACCARI (KOSOVO)
PASQUARELLO (KOSOVO)
CARRIERI (KOSOVO)
RERA IRAQ
CECERE (BOSNIA)</t>
        </r>
      </text>
    </comment>
    <comment ref="H47" authorId="2" shapeId="0" xr:uid="{92A54A58-4B99-4641-BF69-5AE3DB88C795}">
      <text/>
    </comment>
    <comment ref="I47" authorId="0" shapeId="0" xr:uid="{90C2C7A2-1CE2-4006-B589-C274CDCAB58F}">
      <text>
        <r>
          <rPr>
            <b/>
            <sz val="9"/>
            <color indexed="81"/>
            <rFont val="Tahoma"/>
            <family val="2"/>
          </rPr>
          <t xml:space="preserve">
DANESE 
DE ROSA Nicola
</t>
        </r>
      </text>
    </comment>
    <comment ref="P47" authorId="5" shapeId="0" xr:uid="{06D1319A-4DAB-4E91-9975-A1997E3172F2}">
      <text/>
    </comment>
    <comment ref="G49" authorId="2" shapeId="0" xr:uid="{CFA60831-CC9B-40CB-AC6C-0C2DC2387BB8}">
      <text>
        <r>
          <rPr>
            <b/>
            <sz val="9"/>
            <color indexed="81"/>
            <rFont val="Tahoma"/>
            <family val="2"/>
          </rPr>
          <t xml:space="preserve">
DE LUCA (KOSOVO)
TATTILO LIBIA (DAL 21/08)
RINALDI LIBIA</t>
        </r>
      </text>
    </comment>
    <comment ref="H49" authorId="2" shapeId="0" xr:uid="{3D209315-40BC-4D39-A591-1132459C385C}">
      <text/>
    </comment>
    <comment ref="I49" authorId="2" shapeId="0" xr:uid="{BB65DE1F-EA21-43DB-A395-A8BD6C641D29}">
      <text>
        <r>
          <rPr>
            <b/>
            <sz val="9"/>
            <color indexed="81"/>
            <rFont val="Tahoma"/>
            <family val="2"/>
          </rPr>
          <t xml:space="preserve"> PIACENTINI 
ROMANO
TROVATO 
COLUCCIA Astrid
ZACCARIA Italo
</t>
        </r>
      </text>
    </comment>
    <comment ref="P49" authorId="3" shapeId="0" xr:uid="{48F8B591-E5A6-4344-B661-25E70B3D761A}">
      <text>
        <r>
          <rPr>
            <sz val="9"/>
            <color indexed="81"/>
            <rFont val="Tahoma"/>
            <family val="2"/>
          </rPr>
          <t xml:space="preserve">
</t>
        </r>
      </text>
    </comment>
    <comment ref="F50" authorId="5" shapeId="0" xr:uid="{C658F4F1-385A-4000-9212-9673FD620FC3}">
      <text/>
    </comment>
    <comment ref="H50" authorId="2" shapeId="0" xr:uid="{BAF72451-8ECD-4989-ACF7-49CA9BE5CE5E}">
      <text/>
    </comment>
    <comment ref="I50" authorId="2" shapeId="0" xr:uid="{592BADC9-FD86-40D1-A0C6-4EBD8F3C16F1}">
      <text>
        <r>
          <rPr>
            <b/>
            <sz val="9"/>
            <color indexed="81"/>
            <rFont val="Tahoma"/>
            <family val="2"/>
          </rPr>
          <t xml:space="preserve">
ANZINI</t>
        </r>
      </text>
    </comment>
    <comment ref="P50" authorId="3" shapeId="0" xr:uid="{2B16DDD0-E7FE-4C0B-BC0C-E1F713CB000C}">
      <text/>
    </comment>
    <comment ref="S50" authorId="5" shapeId="0" xr:uid="{19D5204C-1D49-4AD2-9527-849A6836F5D8}">
      <text>
        <r>
          <rPr>
            <sz val="9"/>
            <color indexed="81"/>
            <rFont val="Tahoma"/>
            <family val="2"/>
          </rPr>
          <t xml:space="preserve">
</t>
        </r>
      </text>
    </comment>
    <comment ref="F51" authorId="5" shapeId="0" xr:uid="{81855BB2-5FEB-41E7-B0C5-9D327DC09F9E}">
      <text/>
    </comment>
    <comment ref="G51" authorId="3" shapeId="0" xr:uid="{A1F0501B-FACB-424A-AB7C-FDD794144597}">
      <text>
        <r>
          <rPr>
            <b/>
            <sz val="9"/>
            <color indexed="81"/>
            <rFont val="Tahoma"/>
            <family val="2"/>
          </rPr>
          <t xml:space="preserve">
MATRANGA (KOSOVO)
CARROCCIO (KOSOVO)
RECCHIA (KOSOVO) 
IMPERATO (LIBIA)</t>
        </r>
      </text>
    </comment>
    <comment ref="H51" authorId="2" shapeId="0" xr:uid="{B28A6D16-FB9E-4888-9EB0-0B8711E8F653}">
      <text>
        <r>
          <rPr>
            <b/>
            <sz val="9"/>
            <color indexed="81"/>
            <rFont val="Tahoma"/>
            <family val="2"/>
          </rPr>
          <t xml:space="preserve"> 
COLUCCI Antonio
ABBRUSCATO</t>
        </r>
      </text>
    </comment>
    <comment ref="I51" authorId="2" shapeId="0" xr:uid="{AB02D31A-E916-48E8-8C15-2FF4988C97A6}">
      <text>
        <r>
          <rPr>
            <b/>
            <sz val="9"/>
            <color indexed="81"/>
            <rFont val="Tahoma"/>
            <family val="2"/>
          </rPr>
          <t xml:space="preserve">
 </t>
        </r>
      </text>
    </comment>
    <comment ref="J51" authorId="2" shapeId="0" xr:uid="{CE8C08AA-E342-4FC2-8B4C-CBF3C1109BD7}">
      <text/>
    </comment>
    <comment ref="P51" authorId="3" shapeId="0" xr:uid="{CD6D0B82-8348-4264-9C5F-8B75E91CD211}">
      <text/>
    </comment>
    <comment ref="S51" authorId="2" shapeId="0" xr:uid="{C1DEB8D9-40A4-454B-B908-98600D256D2D}">
      <text/>
    </comment>
  </commentList>
</comments>
</file>

<file path=xl/sharedStrings.xml><?xml version="1.0" encoding="utf-8"?>
<sst xmlns="http://schemas.openxmlformats.org/spreadsheetml/2006/main" count="635" uniqueCount="316">
  <si>
    <t>11° REGGIMENTO TRASMISSIONI</t>
  </si>
  <si>
    <t xml:space="preserve">                   BATTAGLIONE TRASMISSIONI "TONALE"</t>
  </si>
  <si>
    <t>1^ Compagnia</t>
  </si>
  <si>
    <t>GRADO / ANZIANITA'</t>
  </si>
  <si>
    <t>RUOLO / ARMA</t>
  </si>
  <si>
    <t>Effettivi</t>
  </si>
  <si>
    <t>Assenti</t>
  </si>
  <si>
    <t>PRESENTI</t>
  </si>
  <si>
    <t>TOTALE</t>
  </si>
  <si>
    <t>Colonnello / -</t>
  </si>
  <si>
    <t>Ruolo Normale / Armi Varie</t>
  </si>
  <si>
    <t>Tenente Colonnello / +15</t>
  </si>
  <si>
    <t>Ruolo Speciale / Armi Varie</t>
  </si>
  <si>
    <t>Ruolo Normale / Corpo Sanitario</t>
  </si>
  <si>
    <t>Ruolo Speciale / Arma dei Trasporti e Materiali</t>
  </si>
  <si>
    <t>Maggiore / +25</t>
  </si>
  <si>
    <t>Ruolo Tecnico Amministrativo / Armi varie</t>
  </si>
  <si>
    <t>Ruolo Tecnico Amministrativo / Arma dei Trasporti e Materiali</t>
  </si>
  <si>
    <t>Maggiore / +15</t>
  </si>
  <si>
    <t>Ruolo normale / Armi Varie</t>
  </si>
  <si>
    <t>Capitano / +25</t>
  </si>
  <si>
    <t>Ruolo Tecnico Amministrativo / Armi Varie</t>
  </si>
  <si>
    <t>Capitano / +13</t>
  </si>
  <si>
    <t>capitano /-13</t>
  </si>
  <si>
    <t>ruolo normale / armi varie</t>
  </si>
  <si>
    <t>capitano / -13</t>
  </si>
  <si>
    <t>Tenente / +13</t>
  </si>
  <si>
    <t>Tenente / -13</t>
  </si>
  <si>
    <t>Ruolo Normale / Corpo degli Ingegneri</t>
  </si>
  <si>
    <t>Sottotenente / -</t>
  </si>
  <si>
    <t>Luogotenente / -</t>
  </si>
  <si>
    <t>Ruolo Marescialli / -</t>
  </si>
  <si>
    <t>Primo Maresciallo / -</t>
  </si>
  <si>
    <t>Maresciallo Capo / -</t>
  </si>
  <si>
    <t>Maresciallo Ordinario / +10</t>
  </si>
  <si>
    <t>Maresciallo / -</t>
  </si>
  <si>
    <t>Sergente Maggiore / -</t>
  </si>
  <si>
    <t>Ruolo Sergenti / -</t>
  </si>
  <si>
    <t>Sergente / -</t>
  </si>
  <si>
    <t>Caporal maggiore capo / -</t>
  </si>
  <si>
    <t>- / -</t>
  </si>
  <si>
    <t>Caporal maggiore scelto / -</t>
  </si>
  <si>
    <t>1° Caporal maggiore / -</t>
  </si>
  <si>
    <t>Volontario in ferma prefissata - VFP4 / -</t>
  </si>
  <si>
    <t>Volontario in ferma breve / -</t>
  </si>
  <si>
    <t>V.F.B. raffermato / - (1° C.le Magg.)</t>
  </si>
  <si>
    <t>Volontario in ferma prefissata - VFP1 / -</t>
  </si>
  <si>
    <t>Posiz. Econ. B2 / -</t>
  </si>
  <si>
    <t>UFFICIALI</t>
  </si>
  <si>
    <t>SOTTUFFICIALI</t>
  </si>
  <si>
    <t>TRUPPA</t>
  </si>
  <si>
    <t>CIVILI</t>
  </si>
  <si>
    <t xml:space="preserve"> TOTALE</t>
  </si>
  <si>
    <t xml:space="preserve">IL COMANDANTE LA COMPAGNIA </t>
  </si>
  <si>
    <t>RIPOSO MEDICO</t>
  </si>
  <si>
    <t>Cap. t. sp RN Riccardo VILLANI</t>
  </si>
  <si>
    <t>LICENZA DI CONVALESCENZA</t>
  </si>
  <si>
    <t>BATTAGLIONE TRASMISSIONI “TONALE”</t>
  </si>
  <si>
    <t>1^ COMPAGNIA</t>
  </si>
  <si>
    <t>AFGHANISTAN</t>
  </si>
  <si>
    <t>ALBANIA</t>
  </si>
  <si>
    <t>BOSNIA</t>
  </si>
  <si>
    <t>CONGO</t>
  </si>
  <si>
    <t>EGITTO</t>
  </si>
  <si>
    <t>FYROM</t>
  </si>
  <si>
    <t>GAZA</t>
  </si>
  <si>
    <t>GIORDANIA</t>
  </si>
  <si>
    <t>GRAN BRETAGNA</t>
  </si>
  <si>
    <t>IRAQ</t>
  </si>
  <si>
    <t>KOSOVO</t>
  </si>
  <si>
    <t>LIBANO</t>
  </si>
  <si>
    <t>SUDAN DARFUR</t>
  </si>
  <si>
    <t>U.S.A.</t>
  </si>
  <si>
    <t xml:space="preserve"> </t>
  </si>
  <si>
    <t>V.F.B. raffermato (grado 1° C.le Magg.)</t>
  </si>
  <si>
    <t>IL COMANDANTE LA COMPAGNIA</t>
  </si>
  <si>
    <t xml:space="preserve">   Cap. t. sp RN Riccardo VILLANI</t>
  </si>
  <si>
    <t>FORZA EFFETTIVA</t>
  </si>
  <si>
    <t>UOMINI</t>
  </si>
  <si>
    <t>DONNE</t>
  </si>
  <si>
    <t>EFF</t>
  </si>
  <si>
    <t>ASSENTI</t>
  </si>
  <si>
    <t>N</t>
  </si>
  <si>
    <t>Gradi</t>
  </si>
  <si>
    <t>Cognome e Nome</t>
  </si>
  <si>
    <t>TRS</t>
  </si>
  <si>
    <t>C.LI VFP1</t>
  </si>
  <si>
    <t>C.LIVFP4</t>
  </si>
  <si>
    <t>C.M. VFP4</t>
  </si>
  <si>
    <t>PCM (VFP4)</t>
  </si>
  <si>
    <t>VFP1</t>
  </si>
  <si>
    <t>SERG</t>
  </si>
  <si>
    <t>Serg. Magg</t>
  </si>
  <si>
    <t>VFP4</t>
  </si>
  <si>
    <t>S.M.C</t>
  </si>
  <si>
    <t>MAR</t>
  </si>
  <si>
    <t>M.O.</t>
  </si>
  <si>
    <t>M.C.</t>
  </si>
  <si>
    <t>Primo Mar</t>
  </si>
  <si>
    <t>Lgt</t>
  </si>
  <si>
    <t>PCM VFP4</t>
  </si>
  <si>
    <t>Primo LGT</t>
  </si>
  <si>
    <t>Pr imoLgt</t>
  </si>
  <si>
    <t>S.TEN</t>
  </si>
  <si>
    <t>TEN</t>
  </si>
  <si>
    <t>CAPITANO</t>
  </si>
  <si>
    <t>MAGG</t>
  </si>
  <si>
    <t>TEN.COL</t>
  </si>
  <si>
    <t>COL</t>
  </si>
  <si>
    <t>VSP</t>
  </si>
  <si>
    <t>S.UFF</t>
  </si>
  <si>
    <t>EFFETTIVI</t>
  </si>
  <si>
    <t>UFF</t>
  </si>
  <si>
    <t xml:space="preserve">ASSENZE PER IL RAPPORTINO DEL </t>
  </si>
  <si>
    <t>GRADI</t>
  </si>
  <si>
    <t>S.I.</t>
  </si>
  <si>
    <t>ESTERO</t>
  </si>
  <si>
    <t>L.O.</t>
  </si>
  <si>
    <t>L.S. REC</t>
  </si>
  <si>
    <t>RMD</t>
  </si>
  <si>
    <t>M.R.</t>
  </si>
  <si>
    <t>L.CONV.</t>
  </si>
  <si>
    <t>HC.</t>
  </si>
  <si>
    <t>HM.</t>
  </si>
  <si>
    <t>LS104/92</t>
  </si>
  <si>
    <t>AGG. V+A</t>
  </si>
  <si>
    <t>AGG. V+A FF.A.</t>
  </si>
  <si>
    <t>FIN SETT</t>
  </si>
  <si>
    <t>AGG DA ALTRI ENTI</t>
  </si>
  <si>
    <t>T.COL</t>
  </si>
  <si>
    <t>CAP</t>
  </si>
  <si>
    <t>SERG.M.C.</t>
  </si>
  <si>
    <t>SERG.M</t>
  </si>
  <si>
    <t xml:space="preserve">SERG </t>
  </si>
  <si>
    <t>CM VFP4</t>
  </si>
  <si>
    <t>CLE VFP4</t>
  </si>
  <si>
    <t>TRS VFP1</t>
  </si>
  <si>
    <t>LEGENDA</t>
  </si>
  <si>
    <t>Aggregato / Comandato (ad altro EDR) sul territorio Nazionale</t>
  </si>
  <si>
    <t>Aggregato / Comandato (ad altro Ente esterno alla F.A.) sul territorio Nazionale</t>
  </si>
  <si>
    <t>Ordinaria</t>
  </si>
  <si>
    <t>Aspettativa</t>
  </si>
  <si>
    <t>Assente non giustificato</t>
  </si>
  <si>
    <t>Attivita' operativa / addestrativa sul territorio Nazionale (durata superiore alle 24 ore)</t>
  </si>
  <si>
    <t>Cariche elettive (ex L. 267)</t>
  </si>
  <si>
    <t>Cure termali</t>
  </si>
  <si>
    <t>Frequentatore di corsopresso Istituti di Formazione dell'Esercito</t>
  </si>
  <si>
    <t>Frequentatore di corsopresso Istituti di Istruzione civili o esterni alla F.A. o all'estero</t>
  </si>
  <si>
    <t>Giornata non lavorativa per il personale civile con contratto di lavoro a tempo parziale o turnista</t>
  </si>
  <si>
    <t>Licenza straordinaria (matrimoniale/gmf/937/77/ecc)</t>
  </si>
  <si>
    <t xml:space="preserve">Serg. Magg. </t>
  </si>
  <si>
    <t>ORLACCHIO Angelo</t>
  </si>
  <si>
    <t>PIERANTOZZI Giorgio</t>
  </si>
  <si>
    <t>MANCINI Daniele</t>
  </si>
  <si>
    <t>FRANCO Marco</t>
  </si>
  <si>
    <t>C.le Magg. VFP4</t>
  </si>
  <si>
    <t xml:space="preserve">Serg. Magg.  </t>
  </si>
  <si>
    <t>FERRARO Davide</t>
  </si>
  <si>
    <t>ARGIOLAS Alessandro</t>
  </si>
  <si>
    <t>Mar.Ord.</t>
  </si>
  <si>
    <t>FRICANO Fabio</t>
  </si>
  <si>
    <t>FORZA POT ASPETTATIVA'</t>
  </si>
  <si>
    <t>CACCAMO Alessandro</t>
  </si>
  <si>
    <t>CACCAMO Mattia</t>
  </si>
  <si>
    <t>S.M.A.</t>
  </si>
  <si>
    <t>Grd. A.</t>
  </si>
  <si>
    <t>1°Grd.</t>
  </si>
  <si>
    <t>Grd.Ca.</t>
  </si>
  <si>
    <t>Grd. ca</t>
  </si>
  <si>
    <t>Grd. sc</t>
  </si>
  <si>
    <t>SMA</t>
  </si>
  <si>
    <t>GRDA</t>
  </si>
  <si>
    <t>1°GRD</t>
  </si>
  <si>
    <t>GRD CA</t>
  </si>
  <si>
    <t>GRD SC</t>
  </si>
  <si>
    <t>GRD</t>
  </si>
  <si>
    <t>Grd</t>
  </si>
  <si>
    <t>MALATESTA Salvatore</t>
  </si>
  <si>
    <t>NACLERIO Carlo</t>
  </si>
  <si>
    <t>Grd.Sc.</t>
  </si>
  <si>
    <t>Cap.</t>
  </si>
  <si>
    <t>MILONE Marco</t>
  </si>
  <si>
    <t>CIPRIANI Tiziana</t>
  </si>
  <si>
    <t>PELLICCIARI Matteo</t>
  </si>
  <si>
    <t>SCIPIO Alessio</t>
  </si>
  <si>
    <t>Grd.</t>
  </si>
  <si>
    <t xml:space="preserve">Serg. Magg. Aiut. </t>
  </si>
  <si>
    <t>PETROSELLI Maurizio</t>
  </si>
  <si>
    <t xml:space="preserve">Serg. Magg. Ca. </t>
  </si>
  <si>
    <t>TARANTINO Angelo</t>
  </si>
  <si>
    <t>SALERNITANO Mario</t>
  </si>
  <si>
    <t>ROSSETTI Marco</t>
  </si>
  <si>
    <t>DE MARINO Antonio</t>
  </si>
  <si>
    <t>LAUDAZI David</t>
  </si>
  <si>
    <t>SILVERI Marco</t>
  </si>
  <si>
    <t>AUTIERO Giovanni</t>
  </si>
  <si>
    <t>CAPORUSCIO Valerio</t>
  </si>
  <si>
    <t>COSTANZO Sandro</t>
  </si>
  <si>
    <t>MACCARI Andrea</t>
  </si>
  <si>
    <t>MANTELLINI Domenico</t>
  </si>
  <si>
    <t>ROMANUCCI Luigi</t>
  </si>
  <si>
    <t>PALOZZI Leonardo</t>
  </si>
  <si>
    <t>ANTONACCI Anthony</t>
  </si>
  <si>
    <t>BRUNO Antonio</t>
  </si>
  <si>
    <t>LATINI Francesco</t>
  </si>
  <si>
    <t>MARTELLO Michele</t>
  </si>
  <si>
    <t>DE PRISCO Rosa</t>
  </si>
  <si>
    <t>REGINA Daniele</t>
  </si>
  <si>
    <t>SPERA Casimiro</t>
  </si>
  <si>
    <t>DEL PRETE Vincenzo</t>
  </si>
  <si>
    <t>BUCCINO Gaetano</t>
  </si>
  <si>
    <t>GRASSIA Mirko</t>
  </si>
  <si>
    <t>TATTILO Liliana</t>
  </si>
  <si>
    <t>TROVATO Alessandro</t>
  </si>
  <si>
    <t>ZACCARIA Italo</t>
  </si>
  <si>
    <t>C.le</t>
  </si>
  <si>
    <t>PIACENTINI Luca</t>
  </si>
  <si>
    <t xml:space="preserve">Sol. </t>
  </si>
  <si>
    <t xml:space="preserve"> ANDRETTI Sonia</t>
  </si>
  <si>
    <t>CARDIELLO Antonio</t>
  </si>
  <si>
    <t>D'AMATO Alessio</t>
  </si>
  <si>
    <t>MATRANGA Andrea Antonio</t>
  </si>
  <si>
    <t>STAFFIERO Gioia</t>
  </si>
  <si>
    <t>LOMANTO Carmen</t>
  </si>
  <si>
    <t>COLUCCI Antonio</t>
  </si>
  <si>
    <t>CIAMPA Gloria</t>
  </si>
  <si>
    <t xml:space="preserve">DANESE Antonio Emanuele </t>
  </si>
  <si>
    <t>STIVALA Marzia</t>
  </si>
  <si>
    <t>TURA Alessandro</t>
  </si>
  <si>
    <t>CONTE Raffaele</t>
  </si>
  <si>
    <t>DE LUCA Marta</t>
  </si>
  <si>
    <t>RUBIU Filippo</t>
  </si>
  <si>
    <t>Ten.</t>
  </si>
  <si>
    <t>DI GENNARO Michele</t>
  </si>
  <si>
    <t xml:space="preserve">Serg. </t>
  </si>
  <si>
    <t>PAGANO Vincenzo</t>
  </si>
  <si>
    <t>FRAMMARTINO Roberto</t>
  </si>
  <si>
    <t>BACCARI Saverio</t>
  </si>
  <si>
    <t>BUONANNO Francesco</t>
  </si>
  <si>
    <t>CARDONE Gianfranco</t>
  </si>
  <si>
    <t>MONTEFUSCO Alessandro</t>
  </si>
  <si>
    <t>CALVANESE Giovanni</t>
  </si>
  <si>
    <t>MARCELLO Orlando</t>
  </si>
  <si>
    <t>TORTORA Marco</t>
  </si>
  <si>
    <t>PERUGINI Maurizio</t>
  </si>
  <si>
    <t>AMOROSO Antonio</t>
  </si>
  <si>
    <t>COSTANZO Sossio</t>
  </si>
  <si>
    <t>DI MARIA Giovanni</t>
  </si>
  <si>
    <t>SCORDARI Luigi</t>
  </si>
  <si>
    <t>ACCARDO Paolo</t>
  </si>
  <si>
    <t>PEZZOLLA Fabio</t>
  </si>
  <si>
    <t>LUCIOTTI Fabrizio</t>
  </si>
  <si>
    <t>SEVERONI Andrea</t>
  </si>
  <si>
    <t>DAMANTI Carlo Ernesto</t>
  </si>
  <si>
    <t>GATTO Adriano</t>
  </si>
  <si>
    <t>GULLO Salvatore</t>
  </si>
  <si>
    <t>SERAFINI Fabrizio</t>
  </si>
  <si>
    <t>CHIARUCCI Fabrizio</t>
  </si>
  <si>
    <t>ALLEGRUCCI Danilo</t>
  </si>
  <si>
    <t>MANZI Luciano</t>
  </si>
  <si>
    <t>FORLINI Ivan</t>
  </si>
  <si>
    <t>IORIO Alessandro</t>
  </si>
  <si>
    <t>GUARNIERI Carmine Nicola</t>
  </si>
  <si>
    <t>CIAPETTI Davide</t>
  </si>
  <si>
    <t>CESARO Carla</t>
  </si>
  <si>
    <t>BARONCINI Marco</t>
  </si>
  <si>
    <t>SCOGNAMIGLIO Daniele</t>
  </si>
  <si>
    <t>MICCOLI Simone</t>
  </si>
  <si>
    <t>BRATTELLI Manuel</t>
  </si>
  <si>
    <t>CALAFATO Marco</t>
  </si>
  <si>
    <t>CARRIERI Sara</t>
  </si>
  <si>
    <t>SABATINI Mariano</t>
  </si>
  <si>
    <t>CECERE Antonio</t>
  </si>
  <si>
    <t>BALDASSARRE Mattia</t>
  </si>
  <si>
    <t>RERA Tommaso</t>
  </si>
  <si>
    <t>DE ROSA Nicola</t>
  </si>
  <si>
    <t>GARGIULO Daniele</t>
  </si>
  <si>
    <t>STENDARDO Mario</t>
  </si>
  <si>
    <t>CALANNI BILLA Sebastiano</t>
  </si>
  <si>
    <t>COLUCCIA Astrid</t>
  </si>
  <si>
    <t>ROMANO Luca</t>
  </si>
  <si>
    <t>POLVERINO Roberto</t>
  </si>
  <si>
    <t>RINALDI Marianna</t>
  </si>
  <si>
    <t>RUGGIERO Angelo Cristian</t>
  </si>
  <si>
    <t>CECCARELLI Mattia Antonio</t>
  </si>
  <si>
    <t>GARASTO Gabriele</t>
  </si>
  <si>
    <t>MASTRELIA Francesco</t>
  </si>
  <si>
    <t>SANTAMARIA Loris</t>
  </si>
  <si>
    <t>VETRONE Gabriele</t>
  </si>
  <si>
    <t>CASINELLI Pietro</t>
  </si>
  <si>
    <t>ASTARITA Samuele</t>
  </si>
  <si>
    <t>CANZOLINO Francesco Pio</t>
  </si>
  <si>
    <t>CALIA Gaetano Marco</t>
  </si>
  <si>
    <t>ABBRUSCATO Gabriele Maria</t>
  </si>
  <si>
    <t>TRESCA Giovanna</t>
  </si>
  <si>
    <t>CARROCCIO Andrea</t>
  </si>
  <si>
    <t>RECCHIA Gianmarco</t>
  </si>
  <si>
    <t>PASQUARELLO Teresa</t>
  </si>
  <si>
    <t>1°Lgt.</t>
  </si>
  <si>
    <t>CERICA Alberto</t>
  </si>
  <si>
    <t>CANENSI Alessandro</t>
  </si>
  <si>
    <t>IMPERATO Gianmanuel</t>
  </si>
  <si>
    <t>CORRADO Mariano Benito</t>
  </si>
  <si>
    <t>ZEFI Lucjana</t>
  </si>
  <si>
    <t>Ten.Col.</t>
  </si>
  <si>
    <t>di CAMILLO Dora</t>
  </si>
  <si>
    <t>TALBI Huda</t>
  </si>
  <si>
    <t>ANZINI Camilla</t>
  </si>
  <si>
    <t>AMBROSIO Gianluca</t>
  </si>
  <si>
    <t>MARIANI Augusto</t>
  </si>
  <si>
    <t xml:space="preserve">BELLUCCI Viola </t>
  </si>
  <si>
    <t>ALAGNA Giuseppe</t>
  </si>
  <si>
    <t>FINAZZO Suhela</t>
  </si>
  <si>
    <t xml:space="preserve">DI ANTONIO Gabriel </t>
  </si>
  <si>
    <t>ZAPPULLA Fabrizio</t>
  </si>
  <si>
    <t>PIZZO Francesco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</si>
</sst>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d\-mmm\-yyyy"/>
    <numFmt numFmtId="165" formatCode="d\-mmm\-yy"/>
    <numFmt numFmtId="166" formatCode="dd/mm/yy"/>
  </numFmts>
  <fonts count="42" x14ac:knownFonts="1">
    <font>
      <sz val="10"/>
      <name val="Arial"/>
      <family val="2"/>
    </font>
    <font>
      <sz val="14"/>
      <name val="Arial"/>
      <family val="2"/>
    </font>
    <font>
      <sz val="18"/>
      <name val="Arial"/>
      <family val="2"/>
    </font>
    <font>
      <sz val="16"/>
      <name val="Arial"/>
      <family val="2"/>
    </font>
    <font>
      <b/>
      <sz val="20"/>
      <name val="Arial"/>
      <family val="2"/>
    </font>
    <font>
      <b/>
      <sz val="16"/>
      <name val="Verdana"/>
      <family val="2"/>
    </font>
    <font>
      <b/>
      <sz val="11"/>
      <name val="Verdana"/>
      <family val="2"/>
    </font>
    <font>
      <b/>
      <sz val="10"/>
      <name val="Verdana"/>
      <family val="2"/>
    </font>
    <font>
      <sz val="9"/>
      <name val="Verdana"/>
      <family val="2"/>
    </font>
    <font>
      <b/>
      <sz val="9"/>
      <color indexed="8"/>
      <name val="Verdana"/>
      <family val="2"/>
    </font>
    <font>
      <b/>
      <sz val="9"/>
      <name val="Verdana"/>
      <family val="2"/>
    </font>
    <font>
      <sz val="9"/>
      <color indexed="8"/>
      <name val="Verdana"/>
      <family val="2"/>
    </font>
    <font>
      <b/>
      <sz val="11"/>
      <color indexed="10"/>
      <name val="Verdana"/>
      <family val="2"/>
    </font>
    <font>
      <sz val="11"/>
      <name val="Verdana"/>
      <family val="2"/>
    </font>
    <font>
      <b/>
      <sz val="14"/>
      <name val="Arial"/>
      <family val="2"/>
    </font>
    <font>
      <b/>
      <sz val="12"/>
      <name val="Arial"/>
      <family val="2"/>
    </font>
    <font>
      <b/>
      <sz val="10"/>
      <name val="Arial"/>
      <family val="2"/>
    </font>
    <font>
      <i/>
      <sz val="12"/>
      <name val="Arial"/>
      <family val="2"/>
    </font>
    <font>
      <sz val="9"/>
      <name val="Arial"/>
      <family val="2"/>
    </font>
    <font>
      <b/>
      <sz val="12"/>
      <name val="Verdana"/>
      <family val="2"/>
    </font>
    <font>
      <b/>
      <i/>
      <u/>
      <sz val="16"/>
      <name val="Arial"/>
      <family val="2"/>
    </font>
    <font>
      <sz val="10"/>
      <color indexed="8"/>
      <name val="Arial"/>
      <family val="2"/>
    </font>
    <font>
      <sz val="10"/>
      <color indexed="9"/>
      <name val="Arial"/>
      <family val="2"/>
    </font>
    <font>
      <b/>
      <sz val="14"/>
      <color indexed="13"/>
      <name val="Arial"/>
      <family val="2"/>
    </font>
    <font>
      <b/>
      <sz val="9"/>
      <name val="Arial"/>
      <family val="2"/>
    </font>
    <font>
      <b/>
      <sz val="11"/>
      <name val="Arial"/>
      <family val="2"/>
    </font>
    <font>
      <u/>
      <sz val="10"/>
      <color indexed="12"/>
      <name val="Arial"/>
      <family val="2"/>
    </font>
    <font>
      <b/>
      <sz val="14"/>
      <color indexed="8"/>
      <name val="Times New Roman"/>
      <family val="1"/>
    </font>
    <font>
      <b/>
      <sz val="16"/>
      <name val="Times New Roman"/>
      <family val="1"/>
    </font>
    <font>
      <b/>
      <sz val="20"/>
      <color indexed="8"/>
      <name val="Times New Roman"/>
      <family val="1"/>
    </font>
    <font>
      <b/>
      <sz val="11"/>
      <name val="Times New Roman"/>
      <family val="1"/>
    </font>
    <font>
      <sz val="10"/>
      <name val="Times New Roman"/>
      <family val="1"/>
    </font>
    <font>
      <sz val="10"/>
      <name val="Arial"/>
      <family val="2"/>
    </font>
    <font>
      <sz val="9"/>
      <color indexed="81"/>
      <name val="Tahoma"/>
      <family val="2"/>
    </font>
    <font>
      <b/>
      <sz val="10"/>
      <color indexed="8"/>
      <name val="Times New Roman"/>
      <family val="1"/>
    </font>
    <font>
      <b/>
      <sz val="10"/>
      <color indexed="8"/>
      <name val="Arial"/>
      <family val="2"/>
    </font>
    <font>
      <b/>
      <sz val="9"/>
      <color indexed="81"/>
      <name val="Tahoma"/>
      <family val="2"/>
    </font>
    <font>
      <sz val="9"/>
      <color indexed="81"/>
      <name val="Times New Roman"/>
      <family val="1"/>
    </font>
    <font>
      <sz val="11"/>
      <color rgb="FF006100"/>
      <name val="Calibri"/>
      <family val="2"/>
      <scheme val="minor"/>
    </font>
    <font>
      <b/>
      <sz val="10"/>
      <color rgb="FF006100"/>
      <name val="Calibri"/>
      <family val="2"/>
      <scheme val="minor"/>
    </font>
    <font>
      <sz val="12"/>
      <color theme="1"/>
      <name val="Times New Roman"/>
      <family val="1"/>
    </font>
    <font>
      <sz val="12"/>
      <name val="Cambria"/>
      <family val="1"/>
      <scheme val="major"/>
    </font>
  </fonts>
  <fills count="11">
    <fill>
      <patternFill patternType="none"/>
    </fill>
    <fill>
      <patternFill patternType="gray125"/>
    </fill>
    <fill>
      <patternFill patternType="solid">
        <fgColor indexed="22"/>
        <bgColor indexed="24"/>
      </patternFill>
    </fill>
    <fill>
      <patternFill patternType="solid">
        <fgColor indexed="9"/>
        <bgColor indexed="26"/>
      </patternFill>
    </fill>
    <fill>
      <patternFill patternType="solid">
        <fgColor indexed="24"/>
        <bgColor indexed="22"/>
      </patternFill>
    </fill>
    <fill>
      <patternFill patternType="solid">
        <fgColor indexed="55"/>
        <bgColor indexed="23"/>
      </patternFill>
    </fill>
    <fill>
      <patternFill patternType="solid">
        <fgColor indexed="13"/>
        <bgColor indexed="34"/>
      </patternFill>
    </fill>
    <fill>
      <patternFill patternType="solid">
        <fgColor indexed="9"/>
        <bgColor indexed="64"/>
      </patternFill>
    </fill>
    <fill>
      <patternFill patternType="solid">
        <fgColor indexed="10"/>
        <bgColor indexed="60"/>
      </patternFill>
    </fill>
    <fill>
      <patternFill patternType="solid">
        <fgColor rgb="FFC6EFCE"/>
      </patternFill>
    </fill>
    <fill>
      <patternFill patternType="solid">
        <fgColor theme="0"/>
        <bgColor indexed="64"/>
      </patternFill>
    </fill>
  </fills>
  <borders count="57">
    <border>
      <left/>
      <right/>
      <top/>
      <bottom/>
      <diagonal/>
    </border>
    <border>
      <left style="medium">
        <color indexed="8"/>
      </left>
      <right style="medium">
        <color indexed="8"/>
      </right>
      <top style="medium">
        <color indexed="8"/>
      </top>
      <bottom/>
      <diagonal/>
    </border>
    <border>
      <left style="medium">
        <color indexed="8"/>
      </left>
      <right style="thin">
        <color indexed="8"/>
      </right>
      <top style="medium">
        <color indexed="8"/>
      </top>
      <bottom style="medium">
        <color indexed="8"/>
      </bottom>
      <diagonal/>
    </border>
    <border>
      <left style="thin">
        <color indexed="8"/>
      </left>
      <right style="thin">
        <color indexed="8"/>
      </right>
      <top style="medium">
        <color indexed="8"/>
      </top>
      <bottom style="medium">
        <color indexed="8"/>
      </bottom>
      <diagonal/>
    </border>
    <border>
      <left style="thin">
        <color indexed="8"/>
      </left>
      <right style="medium">
        <color indexed="8"/>
      </right>
      <top style="medium">
        <color indexed="8"/>
      </top>
      <bottom style="medium">
        <color indexed="8"/>
      </bottom>
      <diagonal/>
    </border>
    <border>
      <left style="medium">
        <color indexed="8"/>
      </left>
      <right style="medium">
        <color indexed="8"/>
      </right>
      <top/>
      <bottom style="medium">
        <color indexed="8"/>
      </bottom>
      <diagonal/>
    </border>
    <border>
      <left style="medium">
        <color indexed="8"/>
      </left>
      <right style="medium">
        <color indexed="8"/>
      </right>
      <top style="medium">
        <color indexed="8"/>
      </top>
      <bottom style="medium">
        <color indexed="8"/>
      </bottom>
      <diagonal/>
    </border>
    <border>
      <left style="hair">
        <color indexed="8"/>
      </left>
      <right style="hair">
        <color indexed="8"/>
      </right>
      <top style="hair">
        <color indexed="8"/>
      </top>
      <bottom style="hair">
        <color indexed="8"/>
      </bottom>
      <diagonal/>
    </border>
    <border>
      <left style="hair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hair">
        <color indexed="8"/>
      </left>
      <right style="thin">
        <color indexed="8"/>
      </right>
      <top style="thin">
        <color indexed="8"/>
      </top>
      <bottom style="hair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ck">
        <color indexed="8"/>
      </left>
      <right style="hair">
        <color indexed="8"/>
      </right>
      <top style="thick">
        <color indexed="8"/>
      </top>
      <bottom style="hair">
        <color indexed="8"/>
      </bottom>
      <diagonal/>
    </border>
    <border>
      <left style="hair">
        <color indexed="8"/>
      </left>
      <right style="hair">
        <color indexed="8"/>
      </right>
      <top style="thick">
        <color indexed="8"/>
      </top>
      <bottom style="hair">
        <color indexed="8"/>
      </bottom>
      <diagonal/>
    </border>
    <border>
      <left style="hair">
        <color indexed="8"/>
      </left>
      <right style="thick">
        <color indexed="8"/>
      </right>
      <top style="thick">
        <color indexed="8"/>
      </top>
      <bottom style="hair">
        <color indexed="8"/>
      </bottom>
      <diagonal/>
    </border>
    <border>
      <left style="thick">
        <color indexed="8"/>
      </left>
      <right style="hair">
        <color indexed="8"/>
      </right>
      <top style="hair">
        <color indexed="8"/>
      </top>
      <bottom style="hair">
        <color indexed="8"/>
      </bottom>
      <diagonal/>
    </border>
    <border>
      <left style="hair">
        <color indexed="8"/>
      </left>
      <right style="thick">
        <color indexed="8"/>
      </right>
      <top style="hair">
        <color indexed="8"/>
      </top>
      <bottom style="hair">
        <color indexed="8"/>
      </bottom>
      <diagonal/>
    </border>
    <border>
      <left style="thick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ck">
        <color indexed="8"/>
      </right>
      <top style="thin">
        <color indexed="8"/>
      </top>
      <bottom style="thin">
        <color indexed="8"/>
      </bottom>
      <diagonal/>
    </border>
    <border>
      <left style="thick">
        <color indexed="8"/>
      </left>
      <right style="thin">
        <color indexed="8"/>
      </right>
      <top style="medium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medium">
        <color indexed="8"/>
      </top>
      <bottom style="thin">
        <color indexed="8"/>
      </bottom>
      <diagonal/>
    </border>
    <border>
      <left style="thin">
        <color indexed="8"/>
      </left>
      <right style="thick">
        <color indexed="8"/>
      </right>
      <top style="medium">
        <color indexed="8"/>
      </top>
      <bottom style="thin">
        <color indexed="8"/>
      </bottom>
      <diagonal/>
    </border>
    <border>
      <left style="thick">
        <color indexed="8"/>
      </left>
      <right style="hair">
        <color indexed="8"/>
      </right>
      <top style="hair">
        <color indexed="8"/>
      </top>
      <bottom style="thick">
        <color indexed="8"/>
      </bottom>
      <diagonal/>
    </border>
    <border>
      <left style="hair">
        <color indexed="8"/>
      </left>
      <right style="hair">
        <color indexed="8"/>
      </right>
      <top style="hair">
        <color indexed="8"/>
      </top>
      <bottom style="thick">
        <color indexed="8"/>
      </bottom>
      <diagonal/>
    </border>
    <border>
      <left style="thick">
        <color indexed="8"/>
      </left>
      <right style="thin">
        <color indexed="8"/>
      </right>
      <top style="thin">
        <color indexed="8"/>
      </top>
      <bottom style="thick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ck">
        <color indexed="8"/>
      </bottom>
      <diagonal/>
    </border>
    <border>
      <left style="thin">
        <color indexed="8"/>
      </left>
      <right style="thick">
        <color indexed="8"/>
      </right>
      <top style="thin">
        <color indexed="8"/>
      </top>
      <bottom style="thick">
        <color indexed="8"/>
      </bottom>
      <diagonal/>
    </border>
    <border>
      <left style="thick">
        <color indexed="8"/>
      </left>
      <right style="thick">
        <color indexed="8"/>
      </right>
      <top style="thick">
        <color indexed="8"/>
      </top>
      <bottom style="thick">
        <color indexed="8"/>
      </bottom>
      <diagonal/>
    </border>
    <border>
      <left style="thick">
        <color indexed="8"/>
      </left>
      <right style="thick">
        <color indexed="8"/>
      </right>
      <top style="thick">
        <color indexed="8"/>
      </top>
      <bottom style="hair">
        <color indexed="8"/>
      </bottom>
      <diagonal/>
    </border>
    <border>
      <left style="thick">
        <color indexed="8"/>
      </left>
      <right style="thick">
        <color indexed="8"/>
      </right>
      <top style="hair">
        <color indexed="8"/>
      </top>
      <bottom style="hair">
        <color indexed="8"/>
      </bottom>
      <diagonal/>
    </border>
    <border>
      <left style="thick">
        <color indexed="8"/>
      </left>
      <right style="thick">
        <color indexed="8"/>
      </right>
      <top style="hair">
        <color indexed="8"/>
      </top>
      <bottom style="thick">
        <color indexed="8"/>
      </bottom>
      <diagonal/>
    </border>
    <border>
      <left style="thick">
        <color indexed="8"/>
      </left>
      <right style="thick">
        <color indexed="8"/>
      </right>
      <top style="thin">
        <color indexed="8"/>
      </top>
      <bottom style="thin">
        <color indexed="8"/>
      </bottom>
      <diagonal/>
    </border>
    <border>
      <left style="hair">
        <color indexed="8"/>
      </left>
      <right style="thick">
        <color indexed="8"/>
      </right>
      <top style="hair">
        <color indexed="8"/>
      </top>
      <bottom style="thick">
        <color indexed="8"/>
      </bottom>
      <diagonal/>
    </border>
    <border>
      <left style="medium">
        <color indexed="8"/>
      </left>
      <right style="thick">
        <color indexed="8"/>
      </right>
      <top style="thick">
        <color indexed="8"/>
      </top>
      <bottom style="thick">
        <color indexed="8"/>
      </bottom>
      <diagonal/>
    </border>
    <border>
      <left/>
      <right style="thick">
        <color indexed="8"/>
      </right>
      <top style="thick">
        <color indexed="8"/>
      </top>
      <bottom style="thick">
        <color indexed="8"/>
      </bottom>
      <diagonal/>
    </border>
    <border>
      <left style="thick">
        <color indexed="8"/>
      </left>
      <right style="thick">
        <color indexed="8"/>
      </right>
      <top style="thick">
        <color indexed="8"/>
      </top>
      <bottom style="medium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hair">
        <color indexed="8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8"/>
      </left>
      <right style="medium">
        <color indexed="8"/>
      </right>
      <top style="thick">
        <color indexed="8"/>
      </top>
      <bottom style="thick">
        <color indexed="8"/>
      </bottom>
      <diagonal/>
    </border>
    <border>
      <left style="thick">
        <color indexed="8"/>
      </left>
      <right style="medium">
        <color indexed="8"/>
      </right>
      <top style="thick">
        <color indexed="8"/>
      </top>
      <bottom style="thick">
        <color indexed="8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8"/>
      </left>
      <right style="thin">
        <color indexed="8"/>
      </right>
      <top/>
      <bottom style="medium">
        <color indexed="8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8"/>
      </bottom>
      <diagonal/>
    </border>
    <border>
      <left style="medium">
        <color indexed="64"/>
      </left>
      <right style="medium">
        <color indexed="64"/>
      </right>
      <top/>
      <bottom style="thin">
        <color indexed="8"/>
      </bottom>
      <diagonal/>
    </border>
    <border>
      <left style="medium">
        <color indexed="64"/>
      </left>
      <right style="medium">
        <color indexed="64"/>
      </right>
      <top style="thin">
        <color indexed="8"/>
      </top>
      <bottom style="thin">
        <color indexed="8"/>
      </bottom>
      <diagonal/>
    </border>
    <border>
      <left style="medium">
        <color indexed="64"/>
      </left>
      <right style="medium">
        <color indexed="64"/>
      </right>
      <top style="thin">
        <color indexed="8"/>
      </top>
      <bottom/>
      <diagonal/>
    </border>
    <border>
      <left style="medium">
        <color indexed="64"/>
      </left>
      <right style="medium">
        <color indexed="64"/>
      </right>
      <top style="thin">
        <color indexed="8"/>
      </top>
      <bottom style="medium">
        <color indexed="64"/>
      </bottom>
      <diagonal/>
    </border>
    <border>
      <left style="thick">
        <color indexed="8"/>
      </left>
      <right style="hair">
        <color indexed="8"/>
      </right>
      <top style="hair">
        <color indexed="8"/>
      </top>
      <bottom style="medium">
        <color indexed="64"/>
      </bottom>
      <diagonal/>
    </border>
    <border>
      <left style="thick">
        <color indexed="8"/>
      </left>
      <right/>
      <top/>
      <bottom style="thin">
        <color indexed="8"/>
      </bottom>
      <diagonal/>
    </border>
    <border>
      <left/>
      <right/>
      <top/>
      <bottom style="thin">
        <color indexed="8"/>
      </bottom>
      <diagonal/>
    </border>
    <border>
      <left/>
      <right style="thick">
        <color indexed="8"/>
      </right>
      <top/>
      <bottom style="thin">
        <color indexed="8"/>
      </bottom>
      <diagonal/>
    </border>
    <border>
      <left style="hair">
        <color indexed="8"/>
      </left>
      <right style="thick">
        <color indexed="8"/>
      </right>
      <top style="hair">
        <color indexed="8"/>
      </top>
      <bottom style="medium">
        <color indexed="64"/>
      </bottom>
      <diagonal/>
    </border>
    <border>
      <left style="medium">
        <color indexed="8"/>
      </left>
      <right/>
      <top style="medium">
        <color indexed="8"/>
      </top>
      <bottom style="thick">
        <color indexed="8"/>
      </bottom>
      <diagonal/>
    </border>
    <border>
      <left/>
      <right/>
      <top style="medium">
        <color indexed="8"/>
      </top>
      <bottom style="thick">
        <color indexed="8"/>
      </bottom>
      <diagonal/>
    </border>
    <border>
      <left/>
      <right style="medium">
        <color indexed="8"/>
      </right>
      <top style="medium">
        <color indexed="8"/>
      </top>
      <bottom style="thick">
        <color indexed="8"/>
      </bottom>
      <diagonal/>
    </border>
    <border>
      <left style="thick">
        <color indexed="8"/>
      </left>
      <right/>
      <top style="thick">
        <color indexed="8"/>
      </top>
      <bottom style="thick">
        <color indexed="8"/>
      </bottom>
      <diagonal/>
    </border>
    <border>
      <left style="medium">
        <color indexed="8"/>
      </left>
      <right style="thin">
        <color indexed="8"/>
      </right>
      <top style="medium">
        <color indexed="8"/>
      </top>
      <bottom style="thin">
        <color indexed="8"/>
      </bottom>
      <diagonal/>
    </border>
    <border>
      <left style="thick">
        <color indexed="8"/>
      </left>
      <right style="thick">
        <color indexed="8"/>
      </right>
      <top style="medium">
        <color indexed="8"/>
      </top>
      <bottom style="thin">
        <color indexed="8"/>
      </bottom>
      <diagonal/>
    </border>
  </borders>
  <cellStyleXfs count="4">
    <xf numFmtId="0" fontId="0" fillId="0" borderId="0"/>
    <xf numFmtId="0" fontId="26" fillId="0" borderId="0" applyNumberFormat="0" applyFill="0" applyBorder="0" applyAlignment="0" applyProtection="0"/>
    <xf numFmtId="0" fontId="32" fillId="0" borderId="0"/>
    <xf numFmtId="0" fontId="38" fillId="9" borderId="0" applyNumberFormat="0" applyBorder="0" applyAlignment="0" applyProtection="0"/>
  </cellStyleXfs>
  <cellXfs count="152">
    <xf numFmtId="0" fontId="0" fillId="0" borderId="0" xfId="0"/>
    <xf numFmtId="0" fontId="1" fillId="0" borderId="0" xfId="0" applyFont="1"/>
    <xf numFmtId="0" fontId="2" fillId="0" borderId="0" xfId="0" applyFont="1" applyAlignment="1">
      <alignment horizontal="center"/>
    </xf>
    <xf numFmtId="0" fontId="3" fillId="0" borderId="0" xfId="0" applyFont="1" applyAlignment="1">
      <alignment horizontal="center"/>
    </xf>
    <xf numFmtId="0" fontId="1" fillId="0" borderId="0" xfId="0" applyFont="1" applyAlignment="1">
      <alignment horizontal="center"/>
    </xf>
    <xf numFmtId="165" fontId="4" fillId="0" borderId="0" xfId="0" applyNumberFormat="1" applyFont="1" applyAlignment="1">
      <alignment horizontal="center" vertical="center"/>
    </xf>
    <xf numFmtId="0" fontId="5" fillId="2" borderId="1" xfId="0" applyFont="1" applyFill="1" applyBorder="1" applyAlignment="1">
      <alignment horizontal="center" vertical="center" wrapText="1"/>
    </xf>
    <xf numFmtId="0" fontId="6" fillId="2" borderId="1" xfId="0" applyFont="1" applyFill="1" applyBorder="1" applyAlignment="1">
      <alignment horizontal="center" vertical="center" wrapText="1"/>
    </xf>
    <xf numFmtId="0" fontId="7" fillId="2" borderId="1" xfId="0" applyFont="1" applyFill="1" applyBorder="1" applyAlignment="1">
      <alignment horizontal="center" vertical="center" wrapText="1"/>
    </xf>
    <xf numFmtId="0" fontId="8" fillId="0" borderId="2" xfId="0" applyFont="1" applyBorder="1" applyAlignment="1">
      <alignment horizontal="left" vertical="center" wrapText="1"/>
    </xf>
    <xf numFmtId="0" fontId="8" fillId="0" borderId="3" xfId="0" applyFont="1" applyBorder="1" applyAlignment="1">
      <alignment horizontal="center" vertical="center" wrapText="1"/>
    </xf>
    <xf numFmtId="0" fontId="9" fillId="0" borderId="3" xfId="0" applyFont="1" applyBorder="1" applyAlignment="1">
      <alignment horizontal="center" vertical="center" wrapText="1"/>
    </xf>
    <xf numFmtId="0" fontId="10" fillId="0" borderId="3" xfId="0" applyFont="1" applyBorder="1" applyAlignment="1">
      <alignment horizontal="center" vertical="center" wrapText="1"/>
    </xf>
    <xf numFmtId="0" fontId="10" fillId="0" borderId="4" xfId="0" applyFont="1" applyBorder="1" applyAlignment="1">
      <alignment horizontal="center" vertical="center" wrapText="1"/>
    </xf>
    <xf numFmtId="0" fontId="11" fillId="0" borderId="3" xfId="0" applyFont="1" applyBorder="1" applyAlignment="1">
      <alignment horizontal="center" vertical="center" wrapText="1"/>
    </xf>
    <xf numFmtId="0" fontId="8" fillId="0" borderId="4" xfId="0" applyFont="1" applyBorder="1" applyAlignment="1">
      <alignment horizontal="center" vertical="center" wrapText="1"/>
    </xf>
    <xf numFmtId="0" fontId="11" fillId="0" borderId="2" xfId="0" applyFont="1" applyBorder="1" applyAlignment="1">
      <alignment horizontal="left" vertical="center" wrapText="1"/>
    </xf>
    <xf numFmtId="0" fontId="12" fillId="2" borderId="5" xfId="0" applyFont="1" applyFill="1" applyBorder="1" applyAlignment="1">
      <alignment horizontal="center" vertical="center" wrapText="1"/>
    </xf>
    <xf numFmtId="0" fontId="13" fillId="0" borderId="0" xfId="0" applyFont="1" applyAlignment="1">
      <alignment horizontal="center" vertical="center" wrapText="1"/>
    </xf>
    <xf numFmtId="0" fontId="1" fillId="0" borderId="6" xfId="0" applyFont="1" applyBorder="1"/>
    <xf numFmtId="0" fontId="14" fillId="0" borderId="7" xfId="0" applyFont="1" applyBorder="1" applyAlignment="1">
      <alignment horizontal="center"/>
    </xf>
    <xf numFmtId="0" fontId="16" fillId="0" borderId="6" xfId="0" applyFont="1" applyBorder="1" applyAlignment="1">
      <alignment horizontal="left"/>
    </xf>
    <xf numFmtId="0" fontId="1" fillId="0" borderId="8" xfId="0" applyFont="1" applyBorder="1" applyAlignment="1">
      <alignment horizontal="center"/>
    </xf>
    <xf numFmtId="0" fontId="16" fillId="0" borderId="6" xfId="0" applyFont="1" applyBorder="1" applyAlignment="1">
      <alignment horizontal="left" wrapText="1"/>
    </xf>
    <xf numFmtId="0" fontId="1" fillId="0" borderId="8" xfId="0" applyFont="1" applyBorder="1" applyAlignment="1">
      <alignment horizontal="center" wrapText="1"/>
    </xf>
    <xf numFmtId="0" fontId="14" fillId="0" borderId="6" xfId="0" applyFont="1" applyBorder="1" applyAlignment="1">
      <alignment horizontal="center"/>
    </xf>
    <xf numFmtId="0" fontId="14" fillId="0" borderId="9" xfId="0" applyFont="1" applyBorder="1" applyAlignment="1">
      <alignment horizontal="center"/>
    </xf>
    <xf numFmtId="0" fontId="18" fillId="0" borderId="10" xfId="0" applyFont="1" applyBorder="1" applyAlignment="1">
      <alignment vertical="center"/>
    </xf>
    <xf numFmtId="0" fontId="7" fillId="2" borderId="1" xfId="0" applyFont="1" applyFill="1" applyBorder="1" applyAlignment="1">
      <alignment horizontal="center" vertical="center" textRotation="90" wrapText="1"/>
    </xf>
    <xf numFmtId="0" fontId="18" fillId="0" borderId="0" xfId="0" applyFont="1" applyAlignment="1">
      <alignment vertical="center"/>
    </xf>
    <xf numFmtId="0" fontId="0" fillId="0" borderId="0" xfId="0" applyAlignment="1">
      <alignment horizontal="center"/>
    </xf>
    <xf numFmtId="0" fontId="16" fillId="3" borderId="11" xfId="0" applyFont="1" applyFill="1" applyBorder="1" applyAlignment="1">
      <alignment horizontal="center" vertical="center"/>
    </xf>
    <xf numFmtId="0" fontId="0" fillId="3" borderId="12" xfId="0" applyFill="1" applyBorder="1"/>
    <xf numFmtId="0" fontId="0" fillId="3" borderId="13" xfId="0" applyFill="1" applyBorder="1"/>
    <xf numFmtId="0" fontId="0" fillId="2" borderId="11" xfId="0" applyFill="1" applyBorder="1" applyAlignment="1">
      <alignment horizontal="center" vertical="center"/>
    </xf>
    <xf numFmtId="0" fontId="0" fillId="2" borderId="12" xfId="0" applyFill="1" applyBorder="1" applyAlignment="1">
      <alignment horizontal="center" vertical="center"/>
    </xf>
    <xf numFmtId="0" fontId="0" fillId="2" borderId="12" xfId="0" applyFill="1" applyBorder="1" applyAlignment="1">
      <alignment horizontal="center" vertical="center" wrapText="1"/>
    </xf>
    <xf numFmtId="0" fontId="0" fillId="2" borderId="7" xfId="0" applyFill="1" applyBorder="1" applyAlignment="1">
      <alignment horizontal="center" vertical="center" wrapText="1"/>
    </xf>
    <xf numFmtId="0" fontId="0" fillId="2" borderId="13" xfId="0" applyFill="1" applyBorder="1" applyAlignment="1">
      <alignment horizontal="center" vertical="center" wrapText="1"/>
    </xf>
    <xf numFmtId="0" fontId="0" fillId="3" borderId="14" xfId="0" applyFill="1" applyBorder="1" applyAlignment="1">
      <alignment horizontal="center"/>
    </xf>
    <xf numFmtId="0" fontId="16" fillId="0" borderId="7" xfId="0" applyFont="1" applyBorder="1" applyAlignment="1">
      <alignment horizontal="center"/>
    </xf>
    <xf numFmtId="0" fontId="0" fillId="3" borderId="15" xfId="0" applyFill="1" applyBorder="1" applyAlignment="1">
      <alignment horizontal="center"/>
    </xf>
    <xf numFmtId="0" fontId="0" fillId="2" borderId="14" xfId="0" applyFill="1" applyBorder="1" applyAlignment="1">
      <alignment horizontal="center" vertical="center" wrapText="1"/>
    </xf>
    <xf numFmtId="0" fontId="0" fillId="2" borderId="7" xfId="0" applyFill="1" applyBorder="1" applyAlignment="1">
      <alignment horizontal="center" vertical="center"/>
    </xf>
    <xf numFmtId="0" fontId="0" fillId="2" borderId="15" xfId="0" applyFill="1" applyBorder="1" applyAlignment="1">
      <alignment horizontal="center" vertical="center" wrapText="1"/>
    </xf>
    <xf numFmtId="0" fontId="16" fillId="0" borderId="14" xfId="0" applyFont="1" applyBorder="1" applyAlignment="1">
      <alignment horizontal="center" vertical="center"/>
    </xf>
    <xf numFmtId="0" fontId="16" fillId="0" borderId="7" xfId="0" applyFont="1" applyBorder="1" applyAlignment="1">
      <alignment horizontal="center" vertical="center"/>
    </xf>
    <xf numFmtId="0" fontId="16" fillId="0" borderId="16" xfId="0" applyFont="1" applyBorder="1" applyAlignment="1">
      <alignment horizontal="center"/>
    </xf>
    <xf numFmtId="0" fontId="16" fillId="0" borderId="10" xfId="0" applyFont="1" applyBorder="1" applyAlignment="1">
      <alignment horizontal="center"/>
    </xf>
    <xf numFmtId="0" fontId="16" fillId="0" borderId="17" xfId="0" applyFont="1" applyBorder="1" applyAlignment="1">
      <alignment horizontal="center"/>
    </xf>
    <xf numFmtId="0" fontId="0" fillId="2" borderId="14" xfId="0" applyFill="1" applyBorder="1" applyAlignment="1">
      <alignment horizontal="center" vertical="center"/>
    </xf>
    <xf numFmtId="0" fontId="0" fillId="4" borderId="7" xfId="0" applyFill="1" applyBorder="1" applyAlignment="1">
      <alignment horizontal="center" vertical="center"/>
    </xf>
    <xf numFmtId="0" fontId="0" fillId="4" borderId="15" xfId="0" applyFill="1" applyBorder="1" applyAlignment="1">
      <alignment horizontal="center" vertical="center"/>
    </xf>
    <xf numFmtId="0" fontId="16" fillId="2" borderId="18" xfId="0" applyFont="1" applyFill="1" applyBorder="1" applyAlignment="1">
      <alignment horizontal="center"/>
    </xf>
    <xf numFmtId="0" fontId="16" fillId="2" borderId="19" xfId="0" applyFont="1" applyFill="1" applyBorder="1" applyAlignment="1">
      <alignment horizontal="center"/>
    </xf>
    <xf numFmtId="0" fontId="16" fillId="2" borderId="20" xfId="0" applyFont="1" applyFill="1" applyBorder="1" applyAlignment="1">
      <alignment horizontal="center"/>
    </xf>
    <xf numFmtId="0" fontId="21" fillId="0" borderId="0" xfId="0" applyFont="1" applyAlignment="1">
      <alignment horizontal="center"/>
    </xf>
    <xf numFmtId="0" fontId="22" fillId="3" borderId="0" xfId="0" applyFont="1" applyFill="1" applyAlignment="1">
      <alignment horizontal="center"/>
    </xf>
    <xf numFmtId="0" fontId="0" fillId="2" borderId="15" xfId="0" applyFill="1" applyBorder="1" applyAlignment="1">
      <alignment horizontal="center" vertical="center"/>
    </xf>
    <xf numFmtId="0" fontId="22" fillId="3" borderId="0" xfId="0" applyFont="1" applyFill="1"/>
    <xf numFmtId="0" fontId="0" fillId="3" borderId="0" xfId="0" applyFill="1"/>
    <xf numFmtId="0" fontId="16" fillId="0" borderId="15" xfId="0" applyFont="1" applyBorder="1" applyAlignment="1">
      <alignment horizontal="center" vertical="center"/>
    </xf>
    <xf numFmtId="0" fontId="16" fillId="0" borderId="21" xfId="0" applyFont="1" applyBorder="1" applyAlignment="1">
      <alignment horizontal="center" vertical="center"/>
    </xf>
    <xf numFmtId="0" fontId="16" fillId="0" borderId="22" xfId="0" applyFont="1" applyBorder="1" applyAlignment="1">
      <alignment horizontal="center" vertical="center"/>
    </xf>
    <xf numFmtId="0" fontId="16" fillId="0" borderId="23" xfId="0" applyFont="1" applyBorder="1"/>
    <xf numFmtId="0" fontId="16" fillId="0" borderId="24" xfId="0" applyFont="1" applyBorder="1"/>
    <xf numFmtId="0" fontId="16" fillId="0" borderId="25" xfId="0" applyFont="1" applyBorder="1"/>
    <xf numFmtId="0" fontId="23" fillId="5" borderId="26" xfId="0" applyFont="1" applyFill="1" applyBorder="1" applyAlignment="1">
      <alignment horizontal="center"/>
    </xf>
    <xf numFmtId="0" fontId="23" fillId="5" borderId="27" xfId="0" applyFont="1" applyFill="1" applyBorder="1" applyAlignment="1">
      <alignment horizontal="center"/>
    </xf>
    <xf numFmtId="0" fontId="0" fillId="0" borderId="28" xfId="0" applyBorder="1"/>
    <xf numFmtId="0" fontId="23" fillId="5" borderId="28" xfId="0" applyFont="1" applyFill="1" applyBorder="1" applyAlignment="1">
      <alignment horizontal="center"/>
    </xf>
    <xf numFmtId="0" fontId="27" fillId="0" borderId="0" xfId="0" applyFont="1"/>
    <xf numFmtId="0" fontId="23" fillId="5" borderId="29" xfId="0" applyFont="1" applyFill="1" applyBorder="1" applyAlignment="1">
      <alignment horizontal="center"/>
    </xf>
    <xf numFmtId="0" fontId="0" fillId="0" borderId="29" xfId="0" applyBorder="1"/>
    <xf numFmtId="0" fontId="23" fillId="5" borderId="3" xfId="0" applyFont="1" applyFill="1" applyBorder="1" applyAlignment="1">
      <alignment horizontal="center"/>
    </xf>
    <xf numFmtId="0" fontId="0" fillId="0" borderId="26" xfId="0" applyBorder="1" applyAlignment="1">
      <alignment horizontal="center" vertical="center"/>
    </xf>
    <xf numFmtId="0" fontId="29" fillId="0" borderId="0" xfId="0" applyFont="1"/>
    <xf numFmtId="0" fontId="30" fillId="6" borderId="11" xfId="0" applyFont="1" applyFill="1" applyBorder="1" applyAlignment="1">
      <alignment horizontal="center"/>
    </xf>
    <xf numFmtId="0" fontId="30" fillId="6" borderId="14" xfId="0" applyFont="1" applyFill="1" applyBorder="1" applyAlignment="1">
      <alignment horizontal="center"/>
    </xf>
    <xf numFmtId="0" fontId="16" fillId="0" borderId="0" xfId="0" applyFont="1"/>
    <xf numFmtId="1" fontId="25" fillId="0" borderId="36" xfId="0" applyNumberFormat="1" applyFont="1" applyBorder="1" applyAlignment="1">
      <alignment horizontal="center"/>
    </xf>
    <xf numFmtId="1" fontId="16" fillId="0" borderId="36" xfId="0" applyNumberFormat="1" applyFont="1" applyBorder="1" applyAlignment="1">
      <alignment horizontal="center"/>
    </xf>
    <xf numFmtId="0" fontId="16" fillId="0" borderId="37" xfId="0" applyFont="1" applyBorder="1" applyAlignment="1">
      <alignment horizontal="center" vertical="center"/>
    </xf>
    <xf numFmtId="0" fontId="16" fillId="0" borderId="32" xfId="0" applyFont="1" applyBorder="1" applyAlignment="1">
      <alignment horizontal="center" vertical="center"/>
    </xf>
    <xf numFmtId="0" fontId="16" fillId="0" borderId="38" xfId="0" applyFont="1" applyBorder="1" applyAlignment="1">
      <alignment horizontal="center" vertical="center"/>
    </xf>
    <xf numFmtId="0" fontId="0" fillId="0" borderId="28" xfId="0" applyBorder="1" applyAlignment="1">
      <alignment horizontal="center"/>
    </xf>
    <xf numFmtId="0" fontId="16" fillId="0" borderId="36" xfId="0" applyFont="1" applyBorder="1" applyAlignment="1">
      <alignment horizontal="center" vertical="center"/>
    </xf>
    <xf numFmtId="1" fontId="34" fillId="0" borderId="36" xfId="0" applyNumberFormat="1" applyFont="1" applyBorder="1" applyAlignment="1">
      <alignment horizontal="center"/>
    </xf>
    <xf numFmtId="1" fontId="35" fillId="0" borderId="36" xfId="0" applyNumberFormat="1" applyFont="1" applyBorder="1" applyAlignment="1">
      <alignment horizontal="center"/>
    </xf>
    <xf numFmtId="1" fontId="16" fillId="0" borderId="36" xfId="3" applyNumberFormat="1" applyFont="1" applyFill="1" applyBorder="1" applyAlignment="1">
      <alignment horizontal="center"/>
    </xf>
    <xf numFmtId="1" fontId="39" fillId="0" borderId="36" xfId="3" applyNumberFormat="1" applyFont="1" applyFill="1" applyBorder="1" applyAlignment="1">
      <alignment horizontal="center"/>
    </xf>
    <xf numFmtId="1" fontId="25" fillId="0" borderId="39" xfId="0" applyNumberFormat="1" applyFont="1" applyBorder="1" applyAlignment="1">
      <alignment horizontal="center"/>
    </xf>
    <xf numFmtId="1" fontId="16" fillId="0" borderId="39" xfId="0" applyNumberFormat="1" applyFont="1" applyBorder="1" applyAlignment="1">
      <alignment horizontal="center"/>
    </xf>
    <xf numFmtId="1" fontId="34" fillId="0" borderId="39" xfId="0" applyNumberFormat="1" applyFont="1" applyBorder="1" applyAlignment="1">
      <alignment horizontal="center"/>
    </xf>
    <xf numFmtId="0" fontId="23" fillId="5" borderId="40" xfId="0" applyFont="1" applyFill="1" applyBorder="1" applyAlignment="1">
      <alignment horizontal="center"/>
    </xf>
    <xf numFmtId="0" fontId="0" fillId="0" borderId="41" xfId="0" applyBorder="1"/>
    <xf numFmtId="0" fontId="0" fillId="0" borderId="42" xfId="0" applyBorder="1"/>
    <xf numFmtId="0" fontId="0" fillId="0" borderId="43" xfId="0" applyBorder="1"/>
    <xf numFmtId="0" fontId="0" fillId="0" borderId="43" xfId="1" applyNumberFormat="1" applyFont="1" applyFill="1" applyBorder="1" applyAlignment="1" applyProtection="1"/>
    <xf numFmtId="0" fontId="0" fillId="0" borderId="44" xfId="1" applyNumberFormat="1" applyFont="1" applyFill="1" applyBorder="1" applyAlignment="1" applyProtection="1"/>
    <xf numFmtId="0" fontId="0" fillId="0" borderId="45" xfId="1" applyNumberFormat="1" applyFont="1" applyFill="1" applyBorder="1" applyAlignment="1" applyProtection="1"/>
    <xf numFmtId="0" fontId="0" fillId="0" borderId="7" xfId="0" applyBorder="1" applyAlignment="1">
      <alignment horizontal="center" vertical="center"/>
    </xf>
    <xf numFmtId="0" fontId="0" fillId="0" borderId="15" xfId="0" applyBorder="1" applyAlignment="1">
      <alignment horizontal="center" vertical="center"/>
    </xf>
    <xf numFmtId="0" fontId="0" fillId="0" borderId="22" xfId="0" applyBorder="1" applyAlignment="1">
      <alignment horizontal="center" vertical="center"/>
    </xf>
    <xf numFmtId="0" fontId="0" fillId="0" borderId="31" xfId="0" applyBorder="1" applyAlignment="1">
      <alignment horizontal="center" vertical="center"/>
    </xf>
    <xf numFmtId="0" fontId="30" fillId="6" borderId="46" xfId="0" applyFont="1" applyFill="1" applyBorder="1" applyAlignment="1">
      <alignment horizontal="center"/>
    </xf>
    <xf numFmtId="0" fontId="16" fillId="0" borderId="47" xfId="0" applyFont="1" applyBorder="1" applyAlignment="1">
      <alignment horizontal="center"/>
    </xf>
    <xf numFmtId="0" fontId="16" fillId="0" borderId="48" xfId="0" applyFont="1" applyBorder="1" applyAlignment="1">
      <alignment horizontal="center"/>
    </xf>
    <xf numFmtId="0" fontId="16" fillId="0" borderId="49" xfId="0" applyFont="1" applyBorder="1" applyAlignment="1">
      <alignment horizontal="center"/>
    </xf>
    <xf numFmtId="0" fontId="16" fillId="2" borderId="14" xfId="0" applyFont="1" applyFill="1" applyBorder="1" applyAlignment="1">
      <alignment horizontal="center" vertical="center"/>
    </xf>
    <xf numFmtId="0" fontId="40" fillId="10" borderId="36" xfId="0" applyFont="1" applyFill="1" applyBorder="1" applyAlignment="1">
      <alignment horizontal="center" vertical="center"/>
    </xf>
    <xf numFmtId="0" fontId="40" fillId="10" borderId="36" xfId="0" applyFont="1" applyFill="1" applyBorder="1" applyAlignment="1">
      <alignment horizontal="center" vertical="center" wrapText="1" shrinkToFit="1"/>
    </xf>
    <xf numFmtId="0" fontId="40" fillId="10" borderId="36" xfId="2" applyFont="1" applyFill="1" applyBorder="1" applyAlignment="1">
      <alignment horizontal="center" vertical="center"/>
    </xf>
    <xf numFmtId="0" fontId="40" fillId="10" borderId="36" xfId="2" applyFont="1" applyFill="1" applyBorder="1" applyAlignment="1">
      <alignment horizontal="center" vertical="center" wrapText="1" shrinkToFit="1"/>
    </xf>
    <xf numFmtId="0" fontId="41" fillId="7" borderId="36" xfId="2" applyFont="1" applyFill="1" applyBorder="1" applyAlignment="1">
      <alignment horizontal="center" vertical="center" wrapText="1"/>
    </xf>
    <xf numFmtId="0" fontId="41" fillId="0" borderId="0" xfId="0" applyFont="1" applyAlignment="1">
      <alignment horizontal="center"/>
    </xf>
    <xf numFmtId="0" fontId="1" fillId="0" borderId="10" xfId="0" applyFont="1" applyBorder="1" applyAlignment="1">
      <alignment horizontal="center" wrapText="1"/>
    </xf>
    <xf numFmtId="0" fontId="1" fillId="0" borderId="10" xfId="0" applyFont="1" applyBorder="1" applyAlignment="1">
      <alignment horizontal="center"/>
    </xf>
    <xf numFmtId="0" fontId="14" fillId="0" borderId="7" xfId="0" applyFont="1" applyBorder="1" applyAlignment="1">
      <alignment horizontal="center"/>
    </xf>
    <xf numFmtId="0" fontId="14" fillId="0" borderId="35" xfId="0" applyFont="1" applyBorder="1" applyAlignment="1">
      <alignment horizontal="center"/>
    </xf>
    <xf numFmtId="0" fontId="15" fillId="0" borderId="0" xfId="0" applyFont="1" applyAlignment="1">
      <alignment horizontal="center"/>
    </xf>
    <xf numFmtId="0" fontId="17" fillId="0" borderId="0" xfId="0" applyFont="1" applyAlignment="1">
      <alignment horizontal="center"/>
    </xf>
    <xf numFmtId="0" fontId="3" fillId="0" borderId="0" xfId="0" applyFont="1" applyAlignment="1">
      <alignment horizontal="center"/>
    </xf>
    <xf numFmtId="0" fontId="1" fillId="0" borderId="0" xfId="0" applyFont="1" applyAlignment="1">
      <alignment horizontal="center"/>
    </xf>
    <xf numFmtId="164" fontId="4" fillId="0" borderId="0" xfId="0" applyNumberFormat="1" applyFont="1" applyAlignment="1">
      <alignment horizontal="center" vertical="center"/>
    </xf>
    <xf numFmtId="0" fontId="12" fillId="2" borderId="5" xfId="0" applyFont="1" applyFill="1" applyBorder="1" applyAlignment="1">
      <alignment horizontal="center" vertical="center" wrapText="1"/>
    </xf>
    <xf numFmtId="0" fontId="19" fillId="3" borderId="1" xfId="0" applyFont="1" applyFill="1" applyBorder="1" applyAlignment="1">
      <alignment horizontal="center" vertical="center" wrapText="1"/>
    </xf>
    <xf numFmtId="0" fontId="0" fillId="0" borderId="0" xfId="0"/>
    <xf numFmtId="0" fontId="31" fillId="0" borderId="50" xfId="0" applyFont="1" applyBorder="1" applyAlignment="1">
      <alignment horizontal="left" vertical="top"/>
    </xf>
    <xf numFmtId="0" fontId="31" fillId="0" borderId="15" xfId="0" applyFont="1" applyBorder="1" applyAlignment="1">
      <alignment horizontal="left" vertical="top"/>
    </xf>
    <xf numFmtId="0" fontId="28" fillId="8" borderId="51" xfId="0" applyFont="1" applyFill="1" applyBorder="1" applyAlignment="1">
      <alignment horizontal="center" vertical="center"/>
    </xf>
    <xf numFmtId="0" fontId="28" fillId="8" borderId="52" xfId="0" applyFont="1" applyFill="1" applyBorder="1" applyAlignment="1">
      <alignment horizontal="center" vertical="center"/>
    </xf>
    <xf numFmtId="0" fontId="28" fillId="8" borderId="53" xfId="0" applyFont="1" applyFill="1" applyBorder="1" applyAlignment="1">
      <alignment horizontal="center" vertical="center"/>
    </xf>
    <xf numFmtId="0" fontId="31" fillId="0" borderId="13" xfId="0" applyFont="1" applyBorder="1" applyAlignment="1">
      <alignment horizontal="left" vertical="top"/>
    </xf>
    <xf numFmtId="0" fontId="24" fillId="0" borderId="26" xfId="0" applyFont="1" applyBorder="1" applyAlignment="1">
      <alignment horizontal="center" vertical="center" wrapText="1"/>
    </xf>
    <xf numFmtId="0" fontId="24" fillId="0" borderId="26" xfId="0" applyFont="1" applyBorder="1" applyAlignment="1">
      <alignment horizontal="center" vertical="center"/>
    </xf>
    <xf numFmtId="0" fontId="16" fillId="0" borderId="26" xfId="0" applyFont="1" applyBorder="1" applyAlignment="1">
      <alignment horizontal="center" vertical="center"/>
    </xf>
    <xf numFmtId="0" fontId="16" fillId="0" borderId="27" xfId="0" applyFont="1" applyBorder="1" applyAlignment="1">
      <alignment horizontal="center" vertical="center" wrapText="1"/>
    </xf>
    <xf numFmtId="0" fontId="0" fillId="0" borderId="0" xfId="0" applyAlignment="1">
      <alignment horizontal="center" vertical="center"/>
    </xf>
    <xf numFmtId="0" fontId="16" fillId="0" borderId="6" xfId="0" applyFont="1" applyBorder="1" applyAlignment="1">
      <alignment horizontal="center" vertical="center"/>
    </xf>
    <xf numFmtId="0" fontId="16" fillId="0" borderId="1" xfId="0" applyFont="1" applyBorder="1" applyAlignment="1">
      <alignment horizontal="center" vertical="center"/>
    </xf>
    <xf numFmtId="0" fontId="16" fillId="0" borderId="34" xfId="0" applyFont="1" applyBorder="1" applyAlignment="1">
      <alignment horizontal="center" vertical="center"/>
    </xf>
    <xf numFmtId="0" fontId="16" fillId="2" borderId="30" xfId="0" applyFont="1" applyFill="1" applyBorder="1" applyAlignment="1">
      <alignment horizontal="center" vertical="center"/>
    </xf>
    <xf numFmtId="166" fontId="16" fillId="0" borderId="26" xfId="0" applyNumberFormat="1" applyFont="1" applyBorder="1" applyAlignment="1">
      <alignment horizontal="center" vertical="center"/>
    </xf>
    <xf numFmtId="0" fontId="16" fillId="0" borderId="54" xfId="0" applyFont="1" applyBorder="1" applyAlignment="1">
      <alignment horizontal="center" vertical="center"/>
    </xf>
    <xf numFmtId="0" fontId="16" fillId="0" borderId="33" xfId="0" applyFont="1" applyBorder="1" applyAlignment="1">
      <alignment horizontal="center" vertical="center"/>
    </xf>
    <xf numFmtId="0" fontId="16" fillId="0" borderId="38" xfId="0" applyFont="1" applyBorder="1" applyAlignment="1">
      <alignment horizontal="center" vertical="center"/>
    </xf>
    <xf numFmtId="0" fontId="16" fillId="0" borderId="37" xfId="0" applyFont="1" applyBorder="1" applyAlignment="1">
      <alignment horizontal="center" vertical="center"/>
    </xf>
    <xf numFmtId="0" fontId="16" fillId="0" borderId="32" xfId="0" applyFont="1" applyBorder="1" applyAlignment="1">
      <alignment horizontal="center" vertical="center"/>
    </xf>
    <xf numFmtId="0" fontId="20" fillId="0" borderId="26" xfId="0" applyFont="1" applyBorder="1" applyAlignment="1">
      <alignment horizontal="center" vertical="center"/>
    </xf>
    <xf numFmtId="0" fontId="16" fillId="2" borderId="55" xfId="0" applyFont="1" applyFill="1" applyBorder="1" applyAlignment="1">
      <alignment horizontal="center" vertical="center"/>
    </xf>
    <xf numFmtId="0" fontId="16" fillId="2" borderId="56" xfId="0" applyFont="1" applyFill="1" applyBorder="1" applyAlignment="1">
      <alignment horizontal="center" vertical="center"/>
    </xf>
  </cellXfs>
  <cellStyles count="4">
    <cellStyle name="Collegamento ipertestuale" xfId="1" builtinId="8"/>
    <cellStyle name="Normale" xfId="0" builtinId="0"/>
    <cellStyle name="Normale 2" xfId="2" xr:uid="{0B66D917-9840-483D-ACB2-25D1EC96E9F0}"/>
    <cellStyle name="Valore valido" xfId="3" builtinId="26"/>
  </cellStyles>
  <dxfs count="2">
    <dxf>
      <font>
        <b/>
        <i val="0"/>
        <condense val="0"/>
        <extend val="0"/>
        <color indexed="9"/>
      </font>
    </dxf>
    <dxf>
      <font>
        <b/>
        <i val="0"/>
        <condense val="0"/>
        <extend val="0"/>
        <color indexed="9"/>
      </font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B2B2B2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ema di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7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A8F1574-0B8C-4C19-8934-D166EA8BBED6}">
  <dimension ref="A1:AI50"/>
  <sheetViews>
    <sheetView view="pageBreakPreview" zoomScale="75" zoomScaleNormal="75" zoomScaleSheetLayoutView="75" workbookViewId="0">
      <selection activeCell="D35" sqref="D35"/>
    </sheetView>
  </sheetViews>
  <sheetFormatPr defaultColWidth="9" defaultRowHeight="18" x14ac:dyDescent="0.25"/>
  <cols>
    <col min="1" max="1" width="37.140625" style="1" customWidth="1"/>
    <col min="2" max="2" width="44.5703125" style="1" customWidth="1"/>
    <col min="3" max="3" width="10.140625" style="1" customWidth="1"/>
    <col min="4" max="4" width="9.85546875" style="1" customWidth="1"/>
    <col min="5" max="5" width="11.28515625" style="1" customWidth="1"/>
    <col min="6" max="24" width="4.5703125" style="1" customWidth="1"/>
    <col min="25" max="25" width="4.5703125" customWidth="1"/>
    <col min="26" max="26" width="10.140625" customWidth="1"/>
  </cols>
  <sheetData>
    <row r="1" spans="1:35" ht="23.25" x14ac:dyDescent="0.35">
      <c r="A1"/>
      <c r="B1" s="2"/>
      <c r="C1" s="2"/>
      <c r="D1" s="2" t="s">
        <v>0</v>
      </c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  <c r="AB1" s="2"/>
      <c r="AC1" s="2"/>
      <c r="AD1" s="2"/>
      <c r="AE1" s="2"/>
      <c r="AF1" s="2"/>
      <c r="AG1" s="2"/>
      <c r="AH1" s="2"/>
      <c r="AI1" s="2"/>
    </row>
    <row r="2" spans="1:35" ht="20.25" x14ac:dyDescent="0.3">
      <c r="A2"/>
      <c r="B2" s="122" t="s">
        <v>1</v>
      </c>
      <c r="C2" s="122"/>
      <c r="D2" s="122"/>
      <c r="E2" s="122"/>
      <c r="F2" s="122"/>
      <c r="G2" s="122"/>
      <c r="H2" s="122"/>
      <c r="I2" s="122"/>
      <c r="J2" s="122"/>
      <c r="K2" s="122"/>
      <c r="L2" s="122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  <c r="AA2" s="3"/>
      <c r="AB2" s="3"/>
      <c r="AC2" s="3"/>
      <c r="AD2" s="3"/>
      <c r="AE2" s="3"/>
      <c r="AF2" s="3"/>
      <c r="AG2" s="3"/>
      <c r="AH2" s="3"/>
      <c r="AI2" s="3"/>
    </row>
    <row r="3" spans="1:35" x14ac:dyDescent="0.25">
      <c r="A3"/>
      <c r="B3" s="4"/>
      <c r="C3" s="123" t="s">
        <v>2</v>
      </c>
      <c r="D3" s="123"/>
      <c r="E3" s="123"/>
      <c r="F3" s="4"/>
      <c r="G3" s="4"/>
      <c r="H3" s="4"/>
      <c r="I3" s="4"/>
      <c r="J3" s="4"/>
      <c r="K3" s="4"/>
      <c r="L3" s="4"/>
      <c r="M3" s="4"/>
      <c r="N3" s="4"/>
      <c r="O3" s="4"/>
      <c r="P3" s="4"/>
      <c r="Q3" s="4"/>
      <c r="R3" s="4"/>
      <c r="S3" s="4"/>
      <c r="T3" s="4"/>
      <c r="U3" s="4"/>
      <c r="V3" s="4"/>
      <c r="W3" s="4"/>
      <c r="X3" s="4"/>
      <c r="Y3" s="4"/>
      <c r="Z3" s="4"/>
      <c r="AA3" s="4"/>
      <c r="AB3" s="4"/>
      <c r="AC3" s="4"/>
      <c r="AD3" s="4"/>
      <c r="AE3" s="4"/>
      <c r="AF3" s="4"/>
      <c r="AG3" s="4"/>
      <c r="AH3" s="4"/>
      <c r="AI3" s="4"/>
    </row>
    <row r="4" spans="1:35" ht="26.25" x14ac:dyDescent="0.25">
      <c r="C4" s="124" t="e">
        <f>#REF!</f>
        <v>#REF!</v>
      </c>
      <c r="D4" s="124"/>
      <c r="E4" s="124"/>
      <c r="F4" s="5"/>
      <c r="G4" s="5"/>
    </row>
    <row r="5" spans="1:35" ht="17.25" customHeight="1" x14ac:dyDescent="0.25">
      <c r="B5"/>
    </row>
    <row r="6" spans="1:35" ht="37.5" customHeight="1" x14ac:dyDescent="0.2">
      <c r="A6" s="6" t="s">
        <v>3</v>
      </c>
      <c r="B6" s="6" t="s">
        <v>4</v>
      </c>
      <c r="C6" s="7" t="s">
        <v>5</v>
      </c>
      <c r="D6" s="7" t="s">
        <v>6</v>
      </c>
      <c r="E6" s="8" t="s">
        <v>7</v>
      </c>
      <c r="F6" s="7">
        <v>1</v>
      </c>
      <c r="G6" s="7">
        <v>2</v>
      </c>
      <c r="H6" s="7">
        <v>3</v>
      </c>
      <c r="I6" s="7">
        <v>4</v>
      </c>
      <c r="J6" s="7">
        <v>5</v>
      </c>
      <c r="K6" s="7">
        <v>6</v>
      </c>
      <c r="L6" s="7">
        <v>7</v>
      </c>
      <c r="M6" s="7">
        <v>8</v>
      </c>
      <c r="N6" s="7">
        <v>9</v>
      </c>
      <c r="O6" s="7">
        <v>10</v>
      </c>
      <c r="P6" s="7">
        <v>11</v>
      </c>
      <c r="Q6" s="7">
        <v>12</v>
      </c>
      <c r="R6" s="7">
        <v>13</v>
      </c>
      <c r="S6" s="7">
        <v>14</v>
      </c>
      <c r="T6" s="7">
        <v>15</v>
      </c>
      <c r="U6" s="7">
        <v>16</v>
      </c>
      <c r="V6" s="7">
        <v>17</v>
      </c>
      <c r="W6" s="7">
        <v>18</v>
      </c>
      <c r="X6" s="7">
        <v>19</v>
      </c>
      <c r="Y6" s="7">
        <v>20</v>
      </c>
      <c r="Z6" s="8" t="s">
        <v>8</v>
      </c>
    </row>
    <row r="7" spans="1:35" ht="15.95" customHeight="1" x14ac:dyDescent="0.2">
      <c r="A7" s="9" t="s">
        <v>9</v>
      </c>
      <c r="B7" s="10" t="s">
        <v>10</v>
      </c>
      <c r="C7" s="11"/>
      <c r="D7" s="12">
        <f>SUM(F7:Y7)+'SIESTAT 2'!AC5</f>
        <v>0</v>
      </c>
      <c r="E7" s="12">
        <f t="shared" ref="E7:E42" si="0">C7-D7</f>
        <v>0</v>
      </c>
      <c r="F7" s="12"/>
      <c r="G7" s="12"/>
      <c r="H7" s="12"/>
      <c r="I7" s="12"/>
      <c r="J7" s="12"/>
      <c r="K7" s="12"/>
      <c r="L7" s="12"/>
      <c r="M7" s="12"/>
      <c r="N7" s="12"/>
      <c r="O7" s="12"/>
      <c r="P7" s="12"/>
      <c r="Q7" s="12"/>
      <c r="R7" s="12"/>
      <c r="S7" s="12"/>
      <c r="T7" s="12"/>
      <c r="U7" s="12"/>
      <c r="V7" s="12"/>
      <c r="W7" s="12"/>
      <c r="X7" s="13"/>
      <c r="Y7" s="13"/>
      <c r="Z7" s="13">
        <f t="shared" ref="Z7:Z42" si="1">SUM(F7:Y7)</f>
        <v>0</v>
      </c>
    </row>
    <row r="8" spans="1:35" ht="15.95" customHeight="1" x14ac:dyDescent="0.2">
      <c r="A8" s="9" t="s">
        <v>11</v>
      </c>
      <c r="B8" s="10" t="s">
        <v>10</v>
      </c>
      <c r="C8" s="11" t="e">
        <f>#REF!</f>
        <v>#REF!</v>
      </c>
      <c r="D8" s="12" t="e">
        <f>SUM(F8:Y8)+'SIESTAT 2'!AC6</f>
        <v>#REF!</v>
      </c>
      <c r="E8" s="12" t="e">
        <f t="shared" si="0"/>
        <v>#REF!</v>
      </c>
      <c r="F8" s="12"/>
      <c r="G8" s="12"/>
      <c r="H8" s="12">
        <f>ELENCO!H28</f>
        <v>1</v>
      </c>
      <c r="I8" s="12"/>
      <c r="J8" s="12" t="e">
        <f>#REF!</f>
        <v>#REF!</v>
      </c>
      <c r="K8" s="12"/>
      <c r="L8" s="12"/>
      <c r="M8" s="12"/>
      <c r="N8" s="12"/>
      <c r="O8" s="12"/>
      <c r="P8" s="12"/>
      <c r="Q8" s="12" t="e">
        <f>#REF!+#REF!</f>
        <v>#REF!</v>
      </c>
      <c r="R8" s="12"/>
      <c r="S8" s="12"/>
      <c r="T8" s="12" t="e">
        <f>#REF!+#REF!</f>
        <v>#REF!</v>
      </c>
      <c r="U8" s="12" t="e">
        <f>#REF!+#REF!</f>
        <v>#REF!</v>
      </c>
      <c r="V8" s="12" t="e">
        <f>#REF!</f>
        <v>#REF!</v>
      </c>
      <c r="W8" s="12"/>
      <c r="X8" s="13"/>
      <c r="Y8" s="13" t="e">
        <f>#REF!</f>
        <v>#REF!</v>
      </c>
      <c r="Z8" s="13" t="e">
        <f t="shared" si="1"/>
        <v>#REF!</v>
      </c>
    </row>
    <row r="9" spans="1:35" ht="15.95" customHeight="1" x14ac:dyDescent="0.2">
      <c r="A9" s="9" t="s">
        <v>11</v>
      </c>
      <c r="B9" s="10" t="s">
        <v>12</v>
      </c>
      <c r="C9" s="11"/>
      <c r="D9" s="12">
        <f>SUM(F9:Y9)+'SIESTAT 2'!AC7</f>
        <v>0</v>
      </c>
      <c r="E9" s="12">
        <f t="shared" si="0"/>
        <v>0</v>
      </c>
      <c r="F9" s="12"/>
      <c r="G9" s="12"/>
      <c r="H9" s="12"/>
      <c r="I9" s="12"/>
      <c r="J9" s="12"/>
      <c r="K9" s="12"/>
      <c r="L9" s="12"/>
      <c r="M9" s="12"/>
      <c r="N9" s="12"/>
      <c r="O9" s="12"/>
      <c r="P9" s="12"/>
      <c r="Q9" s="12"/>
      <c r="R9" s="12"/>
      <c r="S9" s="12"/>
      <c r="T9" s="12"/>
      <c r="U9" s="12"/>
      <c r="V9" s="12"/>
      <c r="W9" s="12"/>
      <c r="X9" s="13"/>
      <c r="Y9" s="13"/>
      <c r="Z9" s="13">
        <f t="shared" si="1"/>
        <v>0</v>
      </c>
    </row>
    <row r="10" spans="1:35" ht="15.95" customHeight="1" x14ac:dyDescent="0.2">
      <c r="A10" s="9" t="s">
        <v>11</v>
      </c>
      <c r="B10" s="10" t="s">
        <v>13</v>
      </c>
      <c r="C10" s="11"/>
      <c r="D10" s="12">
        <f>SUM(F10:Y10)+'SIESTAT 2'!AC8</f>
        <v>0</v>
      </c>
      <c r="E10" s="12">
        <f t="shared" si="0"/>
        <v>0</v>
      </c>
      <c r="F10" s="12"/>
      <c r="G10" s="12"/>
      <c r="H10" s="12"/>
      <c r="I10" s="12"/>
      <c r="J10" s="12"/>
      <c r="K10" s="12"/>
      <c r="L10" s="12"/>
      <c r="M10" s="12"/>
      <c r="N10" s="12"/>
      <c r="O10" s="12"/>
      <c r="P10" s="12"/>
      <c r="Q10" s="12"/>
      <c r="R10" s="12"/>
      <c r="S10" s="12"/>
      <c r="T10" s="12"/>
      <c r="U10" s="12"/>
      <c r="V10" s="12"/>
      <c r="W10" s="12"/>
      <c r="X10" s="13"/>
      <c r="Y10" s="13"/>
      <c r="Z10" s="13">
        <f t="shared" si="1"/>
        <v>0</v>
      </c>
    </row>
    <row r="11" spans="1:35" ht="15.95" customHeight="1" x14ac:dyDescent="0.2">
      <c r="A11" s="9" t="s">
        <v>11</v>
      </c>
      <c r="B11" s="10" t="s">
        <v>14</v>
      </c>
      <c r="C11" s="14"/>
      <c r="D11" s="12">
        <f>SUM(F11:Y11)+'SIESTAT 2'!AC9</f>
        <v>0</v>
      </c>
      <c r="E11" s="12">
        <f t="shared" si="0"/>
        <v>0</v>
      </c>
      <c r="F11" s="10"/>
      <c r="G11" s="10"/>
      <c r="H11" s="10"/>
      <c r="I11" s="10"/>
      <c r="J11" s="10"/>
      <c r="K11" s="10"/>
      <c r="L11" s="10"/>
      <c r="M11" s="10"/>
      <c r="N11" s="10"/>
      <c r="O11" s="10"/>
      <c r="P11" s="10"/>
      <c r="Q11" s="10"/>
      <c r="R11" s="10"/>
      <c r="S11" s="10"/>
      <c r="T11" s="10"/>
      <c r="U11" s="10"/>
      <c r="V11" s="10"/>
      <c r="W11" s="10"/>
      <c r="X11" s="15"/>
      <c r="Y11" s="15"/>
      <c r="Z11" s="13">
        <f t="shared" si="1"/>
        <v>0</v>
      </c>
    </row>
    <row r="12" spans="1:35" ht="15.95" customHeight="1" x14ac:dyDescent="0.2">
      <c r="A12" s="9" t="s">
        <v>15</v>
      </c>
      <c r="B12" s="10" t="s">
        <v>16</v>
      </c>
      <c r="C12" s="11"/>
      <c r="D12" s="12">
        <f>SUM(F12:Y12)+'SIESTAT 2'!AC10</f>
        <v>0</v>
      </c>
      <c r="E12" s="12">
        <f t="shared" si="0"/>
        <v>0</v>
      </c>
      <c r="F12" s="12"/>
      <c r="G12" s="12"/>
      <c r="H12" s="12"/>
      <c r="I12" s="12"/>
      <c r="J12" s="12"/>
      <c r="K12" s="12"/>
      <c r="L12" s="12"/>
      <c r="M12" s="12"/>
      <c r="N12" s="12"/>
      <c r="O12" s="12"/>
      <c r="P12" s="12"/>
      <c r="Q12" s="12"/>
      <c r="R12" s="12"/>
      <c r="S12" s="12"/>
      <c r="T12" s="12"/>
      <c r="U12" s="12"/>
      <c r="V12" s="12"/>
      <c r="W12" s="12"/>
      <c r="X12" s="13"/>
      <c r="Y12" s="13"/>
      <c r="Z12" s="13">
        <f t="shared" si="1"/>
        <v>0</v>
      </c>
    </row>
    <row r="13" spans="1:35" ht="22.9" customHeight="1" x14ac:dyDescent="0.2">
      <c r="A13" s="9" t="s">
        <v>15</v>
      </c>
      <c r="B13" s="10" t="s">
        <v>17</v>
      </c>
      <c r="C13" s="14"/>
      <c r="D13" s="12">
        <f>SUM(F13:Y13)+'SIESTAT 2'!AC11</f>
        <v>0</v>
      </c>
      <c r="E13" s="12">
        <f t="shared" si="0"/>
        <v>0</v>
      </c>
      <c r="F13" s="10"/>
      <c r="G13" s="10"/>
      <c r="H13" s="10"/>
      <c r="I13" s="10"/>
      <c r="J13" s="10"/>
      <c r="K13" s="10"/>
      <c r="L13" s="10"/>
      <c r="M13" s="10"/>
      <c r="N13" s="10"/>
      <c r="O13" s="10"/>
      <c r="P13" s="10"/>
      <c r="Q13" s="10"/>
      <c r="R13" s="10"/>
      <c r="S13" s="10"/>
      <c r="T13" s="10"/>
      <c r="U13" s="10"/>
      <c r="V13" s="10"/>
      <c r="W13" s="10"/>
      <c r="X13" s="15"/>
      <c r="Y13" s="15"/>
      <c r="Z13" s="13">
        <f t="shared" si="1"/>
        <v>0</v>
      </c>
    </row>
    <row r="14" spans="1:35" ht="15.95" customHeight="1" x14ac:dyDescent="0.2">
      <c r="A14" s="9" t="s">
        <v>18</v>
      </c>
      <c r="B14" s="10" t="s">
        <v>12</v>
      </c>
      <c r="C14" s="11"/>
      <c r="D14" s="12">
        <f>SUM(F14:Y14)+'SIESTAT 2'!AC12</f>
        <v>0</v>
      </c>
      <c r="E14" s="12">
        <f t="shared" si="0"/>
        <v>0</v>
      </c>
      <c r="F14" s="12"/>
      <c r="G14" s="12"/>
      <c r="H14" s="12"/>
      <c r="I14" s="12"/>
      <c r="J14" s="12"/>
      <c r="K14" s="12"/>
      <c r="L14" s="12"/>
      <c r="M14" s="12"/>
      <c r="N14" s="12"/>
      <c r="O14" s="12"/>
      <c r="P14" s="12"/>
      <c r="Q14" s="12"/>
      <c r="R14" s="12"/>
      <c r="S14" s="12"/>
      <c r="T14" s="12"/>
      <c r="U14" s="12"/>
      <c r="V14" s="12"/>
      <c r="W14" s="12"/>
      <c r="X14" s="13"/>
      <c r="Y14" s="13"/>
      <c r="Z14" s="13">
        <f t="shared" si="1"/>
        <v>0</v>
      </c>
    </row>
    <row r="15" spans="1:35" ht="15.95" customHeight="1" x14ac:dyDescent="0.2">
      <c r="A15" s="9" t="s">
        <v>18</v>
      </c>
      <c r="B15" s="10" t="s">
        <v>19</v>
      </c>
      <c r="C15" s="14"/>
      <c r="D15" s="12">
        <f>SUM(F15:Y15)+'SIESTAT 2'!AC13</f>
        <v>0</v>
      </c>
      <c r="E15" s="12">
        <f t="shared" si="0"/>
        <v>0</v>
      </c>
      <c r="F15" s="10"/>
      <c r="G15" s="10"/>
      <c r="H15" s="10"/>
      <c r="I15" s="10"/>
      <c r="J15" s="10"/>
      <c r="K15" s="10"/>
      <c r="L15" s="10"/>
      <c r="M15" s="10"/>
      <c r="N15" s="10"/>
      <c r="O15" s="10"/>
      <c r="P15" s="10"/>
      <c r="Q15" s="10"/>
      <c r="R15" s="10"/>
      <c r="S15" s="10"/>
      <c r="T15" s="10"/>
      <c r="U15" s="10"/>
      <c r="V15" s="10"/>
      <c r="W15" s="10"/>
      <c r="X15" s="15"/>
      <c r="Y15" s="15"/>
      <c r="Z15" s="13">
        <f t="shared" si="1"/>
        <v>0</v>
      </c>
    </row>
    <row r="16" spans="1:35" ht="15.95" customHeight="1" x14ac:dyDescent="0.2">
      <c r="A16" s="9" t="s">
        <v>20</v>
      </c>
      <c r="B16" s="10" t="s">
        <v>21</v>
      </c>
      <c r="C16" s="11"/>
      <c r="D16" s="12">
        <f>SUM(F16:Y16)+'SIESTAT 2'!AC14</f>
        <v>0</v>
      </c>
      <c r="E16" s="12">
        <f t="shared" si="0"/>
        <v>0</v>
      </c>
      <c r="F16" s="12"/>
      <c r="G16" s="12"/>
      <c r="H16" s="12"/>
      <c r="I16" s="12"/>
      <c r="J16" s="12"/>
      <c r="K16" s="12"/>
      <c r="L16" s="12"/>
      <c r="M16" s="12"/>
      <c r="N16" s="12"/>
      <c r="O16" s="12"/>
      <c r="P16" s="12"/>
      <c r="Q16" s="12"/>
      <c r="R16" s="12"/>
      <c r="S16" s="12"/>
      <c r="T16" s="12"/>
      <c r="U16" s="12"/>
      <c r="V16" s="12"/>
      <c r="W16" s="12"/>
      <c r="X16" s="13"/>
      <c r="Y16" s="13"/>
      <c r="Z16" s="13">
        <f t="shared" si="1"/>
        <v>0</v>
      </c>
    </row>
    <row r="17" spans="1:26" ht="15.95" customHeight="1" x14ac:dyDescent="0.2">
      <c r="A17" s="9" t="s">
        <v>22</v>
      </c>
      <c r="B17" s="10" t="s">
        <v>10</v>
      </c>
      <c r="C17" s="11"/>
      <c r="D17" s="12">
        <f>SUM(F17:Y17)+'SIESTAT 2'!AC15</f>
        <v>0</v>
      </c>
      <c r="E17" s="12">
        <f t="shared" si="0"/>
        <v>0</v>
      </c>
      <c r="F17" s="12"/>
      <c r="G17" s="12"/>
      <c r="H17" s="12"/>
      <c r="I17" s="12"/>
      <c r="J17" s="12"/>
      <c r="K17" s="12"/>
      <c r="L17" s="12"/>
      <c r="M17" s="12"/>
      <c r="N17" s="12"/>
      <c r="O17" s="12"/>
      <c r="P17" s="12"/>
      <c r="Q17" s="12"/>
      <c r="R17" s="12"/>
      <c r="S17" s="12"/>
      <c r="T17" s="12"/>
      <c r="U17" s="12"/>
      <c r="V17" s="12"/>
      <c r="W17" s="12"/>
      <c r="X17" s="13"/>
      <c r="Y17" s="13"/>
      <c r="Z17" s="13">
        <f t="shared" si="1"/>
        <v>0</v>
      </c>
    </row>
    <row r="18" spans="1:26" ht="15.95" customHeight="1" x14ac:dyDescent="0.2">
      <c r="A18" s="9" t="s">
        <v>22</v>
      </c>
      <c r="B18" s="10" t="s">
        <v>12</v>
      </c>
      <c r="C18" s="11"/>
      <c r="D18" s="12">
        <f>SUM(F18:Y18)+'SIESTAT 2'!AC16</f>
        <v>0</v>
      </c>
      <c r="E18" s="12">
        <f t="shared" si="0"/>
        <v>0</v>
      </c>
      <c r="F18" s="12"/>
      <c r="G18" s="12"/>
      <c r="H18" s="12"/>
      <c r="I18" s="12"/>
      <c r="J18" s="12"/>
      <c r="K18" s="12"/>
      <c r="L18" s="12"/>
      <c r="M18" s="12"/>
      <c r="N18" s="12"/>
      <c r="O18" s="12"/>
      <c r="P18" s="12"/>
      <c r="Q18" s="12"/>
      <c r="R18" s="12"/>
      <c r="S18" s="12"/>
      <c r="T18" s="12"/>
      <c r="U18" s="12"/>
      <c r="V18" s="12"/>
      <c r="W18" s="12"/>
      <c r="X18" s="13"/>
      <c r="Y18" s="13"/>
      <c r="Z18" s="13">
        <f t="shared" si="1"/>
        <v>0</v>
      </c>
    </row>
    <row r="19" spans="1:26" ht="15.95" customHeight="1" x14ac:dyDescent="0.2">
      <c r="A19" s="9" t="s">
        <v>22</v>
      </c>
      <c r="B19" s="10" t="s">
        <v>21</v>
      </c>
      <c r="C19" s="11"/>
      <c r="D19" s="12">
        <f>SUM(F19:Y19)+'SIESTAT 2'!AC17</f>
        <v>0</v>
      </c>
      <c r="E19" s="12">
        <f t="shared" si="0"/>
        <v>0</v>
      </c>
      <c r="F19" s="12"/>
      <c r="G19" s="12"/>
      <c r="H19" s="12"/>
      <c r="I19" s="12"/>
      <c r="J19" s="12"/>
      <c r="K19" s="12"/>
      <c r="L19" s="12"/>
      <c r="M19" s="12"/>
      <c r="N19" s="12"/>
      <c r="O19" s="12"/>
      <c r="P19" s="12"/>
      <c r="Q19" s="12"/>
      <c r="R19" s="12"/>
      <c r="S19" s="12"/>
      <c r="T19" s="12"/>
      <c r="U19" s="12"/>
      <c r="V19" s="12"/>
      <c r="W19" s="12"/>
      <c r="X19" s="13"/>
      <c r="Y19" s="13"/>
      <c r="Z19" s="13">
        <f t="shared" si="1"/>
        <v>0</v>
      </c>
    </row>
    <row r="20" spans="1:26" ht="15.95" customHeight="1" x14ac:dyDescent="0.2">
      <c r="A20" s="9" t="s">
        <v>23</v>
      </c>
      <c r="B20" s="10" t="s">
        <v>24</v>
      </c>
      <c r="C20" s="11" t="e">
        <f>#REF!</f>
        <v>#REF!</v>
      </c>
      <c r="D20" s="12" t="e">
        <f>SUM(F20:Y20)+'SIESTAT 2'!AC18</f>
        <v>#REF!</v>
      </c>
      <c r="E20" s="12" t="e">
        <f t="shared" si="0"/>
        <v>#REF!</v>
      </c>
      <c r="F20" s="12" t="e">
        <f>#REF!</f>
        <v>#REF!</v>
      </c>
      <c r="G20" s="12"/>
      <c r="H20" s="12">
        <f>ELENCO!H30</f>
        <v>0</v>
      </c>
      <c r="I20" s="12"/>
      <c r="J20" s="12" t="e">
        <f>#REF!</f>
        <v>#REF!</v>
      </c>
      <c r="K20" s="12"/>
      <c r="L20" s="12"/>
      <c r="M20" s="12"/>
      <c r="N20" s="12"/>
      <c r="O20" s="12"/>
      <c r="P20" s="12"/>
      <c r="Q20" s="12" t="e">
        <f>#REF!+#REF!</f>
        <v>#REF!</v>
      </c>
      <c r="R20" s="12"/>
      <c r="S20" s="12"/>
      <c r="T20" s="12" t="e">
        <f>#REF!+#REF!</f>
        <v>#REF!</v>
      </c>
      <c r="U20" s="12" t="e">
        <f>#REF!+#REF!</f>
        <v>#REF!</v>
      </c>
      <c r="V20" s="12" t="e">
        <f>#REF!</f>
        <v>#REF!</v>
      </c>
      <c r="W20" s="12"/>
      <c r="X20" s="13"/>
      <c r="Y20" s="13" t="e">
        <f>#REF!</f>
        <v>#REF!</v>
      </c>
      <c r="Z20" s="13" t="e">
        <f t="shared" si="1"/>
        <v>#REF!</v>
      </c>
    </row>
    <row r="21" spans="1:26" ht="15.95" customHeight="1" x14ac:dyDescent="0.2">
      <c r="A21" s="9" t="s">
        <v>25</v>
      </c>
      <c r="B21" s="10" t="s">
        <v>21</v>
      </c>
      <c r="C21" s="11"/>
      <c r="D21" s="12">
        <f>SUM(F21:Y21)+'SIESTAT 2'!AC19</f>
        <v>0</v>
      </c>
      <c r="E21" s="12">
        <f t="shared" si="0"/>
        <v>0</v>
      </c>
      <c r="F21" s="12"/>
      <c r="G21" s="12"/>
      <c r="H21" s="12"/>
      <c r="I21" s="12"/>
      <c r="J21" s="12"/>
      <c r="K21" s="12"/>
      <c r="L21" s="12"/>
      <c r="M21" s="12"/>
      <c r="N21" s="12"/>
      <c r="O21" s="12"/>
      <c r="P21" s="12"/>
      <c r="Q21" s="12"/>
      <c r="R21" s="12"/>
      <c r="S21" s="12"/>
      <c r="T21" s="12"/>
      <c r="U21" s="12"/>
      <c r="V21" s="12"/>
      <c r="W21" s="12"/>
      <c r="X21" s="13"/>
      <c r="Y21" s="13"/>
      <c r="Z21" s="13">
        <f t="shared" si="1"/>
        <v>0</v>
      </c>
    </row>
    <row r="22" spans="1:26" ht="15.95" customHeight="1" x14ac:dyDescent="0.2">
      <c r="A22" s="9" t="s">
        <v>26</v>
      </c>
      <c r="B22" s="10" t="s">
        <v>12</v>
      </c>
      <c r="C22" s="14"/>
      <c r="D22" s="12">
        <f>SUM(F22:Y22)+'SIESTAT 2'!AC20</f>
        <v>0</v>
      </c>
      <c r="E22" s="12">
        <f t="shared" si="0"/>
        <v>0</v>
      </c>
      <c r="F22" s="10"/>
      <c r="G22" s="10"/>
      <c r="H22" s="10"/>
      <c r="I22" s="10"/>
      <c r="J22" s="10"/>
      <c r="K22" s="10"/>
      <c r="L22" s="10"/>
      <c r="M22" s="10"/>
      <c r="N22" s="10"/>
      <c r="O22" s="10"/>
      <c r="P22" s="10"/>
      <c r="Q22" s="10"/>
      <c r="R22" s="10"/>
      <c r="S22" s="10"/>
      <c r="T22" s="10"/>
      <c r="U22" s="10"/>
      <c r="V22" s="10"/>
      <c r="W22" s="10"/>
      <c r="X22" s="15"/>
      <c r="Y22" s="15"/>
      <c r="Z22" s="13">
        <f t="shared" si="1"/>
        <v>0</v>
      </c>
    </row>
    <row r="23" spans="1:26" ht="15.95" customHeight="1" x14ac:dyDescent="0.2">
      <c r="A23" s="9" t="s">
        <v>27</v>
      </c>
      <c r="B23" s="10" t="s">
        <v>10</v>
      </c>
      <c r="C23" s="14" t="e">
        <f>#REF!</f>
        <v>#REF!</v>
      </c>
      <c r="D23" s="12" t="e">
        <f>SUM(F23:Y23)+'SIESTAT 2'!AC21</f>
        <v>#REF!</v>
      </c>
      <c r="E23" s="12" t="e">
        <f t="shared" si="0"/>
        <v>#REF!</v>
      </c>
      <c r="F23" s="10" t="e">
        <f>#REF!</f>
        <v>#REF!</v>
      </c>
      <c r="G23" s="10"/>
      <c r="H23" s="10">
        <f>ELENCO!H31</f>
        <v>0</v>
      </c>
      <c r="I23" s="10"/>
      <c r="J23" s="10" t="e">
        <f>#REF!</f>
        <v>#REF!</v>
      </c>
      <c r="K23" s="10"/>
      <c r="L23" s="10"/>
      <c r="M23" s="10"/>
      <c r="N23" s="10"/>
      <c r="O23" s="10"/>
      <c r="P23" s="10"/>
      <c r="Q23" s="10" t="e">
        <f>#REF!+#REF!</f>
        <v>#REF!</v>
      </c>
      <c r="R23" s="10"/>
      <c r="S23" s="10"/>
      <c r="T23" s="10" t="e">
        <f>#REF!+#REF!</f>
        <v>#REF!</v>
      </c>
      <c r="U23" s="10" t="e">
        <f>#REF!+#REF!</f>
        <v>#REF!</v>
      </c>
      <c r="V23" s="10" t="e">
        <f>#REF!</f>
        <v>#REF!</v>
      </c>
      <c r="W23" s="10"/>
      <c r="X23" s="15"/>
      <c r="Y23" s="15" t="e">
        <f>#REF!</f>
        <v>#REF!</v>
      </c>
      <c r="Z23" s="13" t="e">
        <f t="shared" si="1"/>
        <v>#REF!</v>
      </c>
    </row>
    <row r="24" spans="1:26" ht="15.95" customHeight="1" x14ac:dyDescent="0.2">
      <c r="A24" s="9" t="s">
        <v>27</v>
      </c>
      <c r="B24" s="10" t="s">
        <v>12</v>
      </c>
      <c r="C24" s="11"/>
      <c r="D24" s="12">
        <f>SUM(F24:Y24)+'SIESTAT 2'!AC22</f>
        <v>0</v>
      </c>
      <c r="E24" s="12">
        <f t="shared" si="0"/>
        <v>0</v>
      </c>
      <c r="F24" s="12"/>
      <c r="G24" s="12"/>
      <c r="H24" s="12"/>
      <c r="I24" s="12"/>
      <c r="J24" s="12"/>
      <c r="K24" s="12"/>
      <c r="L24" s="12"/>
      <c r="M24" s="12"/>
      <c r="N24" s="12"/>
      <c r="O24" s="12"/>
      <c r="P24" s="12"/>
      <c r="Q24" s="12"/>
      <c r="R24" s="12"/>
      <c r="S24" s="12"/>
      <c r="T24" s="12"/>
      <c r="U24" s="12"/>
      <c r="V24" s="12"/>
      <c r="W24" s="12"/>
      <c r="X24" s="13"/>
      <c r="Y24" s="13"/>
      <c r="Z24" s="13">
        <f t="shared" si="1"/>
        <v>0</v>
      </c>
    </row>
    <row r="25" spans="1:26" ht="15.95" customHeight="1" x14ac:dyDescent="0.2">
      <c r="A25" s="9" t="s">
        <v>27</v>
      </c>
      <c r="B25" s="10" t="s">
        <v>28</v>
      </c>
      <c r="C25" s="11"/>
      <c r="D25" s="12">
        <f>SUM(F25:Y25)+'SIESTAT 2'!AC23</f>
        <v>0</v>
      </c>
      <c r="E25" s="12">
        <f t="shared" si="0"/>
        <v>0</v>
      </c>
      <c r="F25" s="12"/>
      <c r="G25" s="12"/>
      <c r="H25" s="12"/>
      <c r="I25" s="12"/>
      <c r="J25" s="12"/>
      <c r="K25" s="12"/>
      <c r="L25" s="12"/>
      <c r="M25" s="12"/>
      <c r="N25" s="12"/>
      <c r="O25" s="12"/>
      <c r="P25" s="12"/>
      <c r="Q25" s="12"/>
      <c r="R25" s="12"/>
      <c r="S25" s="12"/>
      <c r="T25" s="12"/>
      <c r="U25" s="12"/>
      <c r="V25" s="12"/>
      <c r="W25" s="12"/>
      <c r="X25" s="13"/>
      <c r="Y25" s="13"/>
      <c r="Z25" s="13">
        <f t="shared" si="1"/>
        <v>0</v>
      </c>
    </row>
    <row r="26" spans="1:26" ht="15.95" customHeight="1" x14ac:dyDescent="0.2">
      <c r="A26" s="9" t="s">
        <v>27</v>
      </c>
      <c r="B26" s="10" t="s">
        <v>14</v>
      </c>
      <c r="C26" s="11"/>
      <c r="D26" s="12">
        <f>SUM(F26:Y26)+'SIESTAT 2'!AC24</f>
        <v>0</v>
      </c>
      <c r="E26" s="12">
        <f t="shared" si="0"/>
        <v>0</v>
      </c>
      <c r="F26" s="12"/>
      <c r="G26" s="12"/>
      <c r="H26" s="12"/>
      <c r="I26" s="12"/>
      <c r="J26" s="12"/>
      <c r="K26" s="12"/>
      <c r="L26" s="12"/>
      <c r="M26" s="12"/>
      <c r="N26" s="12"/>
      <c r="O26" s="12"/>
      <c r="P26" s="12"/>
      <c r="Q26" s="12"/>
      <c r="R26" s="12"/>
      <c r="S26" s="12"/>
      <c r="T26" s="12"/>
      <c r="U26" s="12"/>
      <c r="V26" s="12"/>
      <c r="W26" s="12"/>
      <c r="X26" s="13"/>
      <c r="Y26" s="13"/>
      <c r="Z26" s="13">
        <f t="shared" si="1"/>
        <v>0</v>
      </c>
    </row>
    <row r="27" spans="1:26" ht="15.95" customHeight="1" x14ac:dyDescent="0.2">
      <c r="A27" s="9" t="s">
        <v>29</v>
      </c>
      <c r="B27" s="10" t="s">
        <v>12</v>
      </c>
      <c r="C27" s="11" t="e">
        <f>#REF!</f>
        <v>#REF!</v>
      </c>
      <c r="D27" s="12" t="e">
        <f>SUM(F27:Y27)+'SIESTAT 2'!AC25</f>
        <v>#REF!</v>
      </c>
      <c r="E27" s="12" t="e">
        <f t="shared" si="0"/>
        <v>#REF!</v>
      </c>
      <c r="F27" s="12"/>
      <c r="G27" s="12"/>
      <c r="H27" s="12" t="e">
        <f>#REF!</f>
        <v>#REF!</v>
      </c>
      <c r="I27" s="12"/>
      <c r="J27" s="12" t="e">
        <f>#REF!</f>
        <v>#REF!</v>
      </c>
      <c r="K27" s="12"/>
      <c r="L27" s="12"/>
      <c r="M27" s="12"/>
      <c r="N27" s="12"/>
      <c r="O27" s="12"/>
      <c r="P27" s="12"/>
      <c r="Q27" s="12" t="e">
        <f>#REF!+#REF!</f>
        <v>#REF!</v>
      </c>
      <c r="R27" s="12"/>
      <c r="S27" s="12"/>
      <c r="T27" s="12" t="e">
        <f>#REF!+#REF!</f>
        <v>#REF!</v>
      </c>
      <c r="U27" s="12" t="e">
        <f>#REF!+#REF!</f>
        <v>#REF!</v>
      </c>
      <c r="V27" s="12" t="e">
        <f>#REF!</f>
        <v>#REF!</v>
      </c>
      <c r="W27" s="12"/>
      <c r="X27" s="13"/>
      <c r="Y27" s="13" t="e">
        <f>#REF!</f>
        <v>#REF!</v>
      </c>
      <c r="Z27" s="13" t="e">
        <f t="shared" si="1"/>
        <v>#REF!</v>
      </c>
    </row>
    <row r="28" spans="1:26" ht="15.95" customHeight="1" x14ac:dyDescent="0.2">
      <c r="A28" s="9" t="s">
        <v>30</v>
      </c>
      <c r="B28" s="10" t="s">
        <v>31</v>
      </c>
      <c r="C28" s="11" t="e">
        <f>#REF!</f>
        <v>#REF!</v>
      </c>
      <c r="D28" s="12" t="e">
        <f>SUM(F28:Y28)+'SIESTAT 2'!AC26</f>
        <v>#REF!</v>
      </c>
      <c r="E28" s="12" t="e">
        <f t="shared" si="0"/>
        <v>#REF!</v>
      </c>
      <c r="F28" s="12"/>
      <c r="G28" s="12"/>
      <c r="H28" s="12">
        <f>ELENCO!H33</f>
        <v>0</v>
      </c>
      <c r="I28" s="12"/>
      <c r="J28" s="12" t="e">
        <f>#REF!</f>
        <v>#REF!</v>
      </c>
      <c r="K28" s="12"/>
      <c r="L28" s="12"/>
      <c r="M28" s="12"/>
      <c r="N28" s="12"/>
      <c r="O28" s="12"/>
      <c r="P28" s="12"/>
      <c r="Q28" s="12" t="e">
        <f>#REF!+#REF!</f>
        <v>#REF!</v>
      </c>
      <c r="R28" s="12"/>
      <c r="S28" s="12"/>
      <c r="T28" s="12" t="e">
        <f>#REF!+#REF!</f>
        <v>#REF!</v>
      </c>
      <c r="U28" s="12" t="e">
        <f>#REF!+#REF!</f>
        <v>#REF!</v>
      </c>
      <c r="V28" s="12" t="e">
        <f>#REF!</f>
        <v>#REF!</v>
      </c>
      <c r="W28" s="12"/>
      <c r="X28" s="13"/>
      <c r="Y28" s="13" t="e">
        <f>#REF!</f>
        <v>#REF!</v>
      </c>
      <c r="Z28" s="13" t="e">
        <f t="shared" si="1"/>
        <v>#REF!</v>
      </c>
    </row>
    <row r="29" spans="1:26" ht="15.95" customHeight="1" x14ac:dyDescent="0.2">
      <c r="A29" s="9" t="s">
        <v>32</v>
      </c>
      <c r="B29" s="10" t="s">
        <v>31</v>
      </c>
      <c r="C29" s="11" t="e">
        <f>#REF!</f>
        <v>#REF!</v>
      </c>
      <c r="D29" s="12" t="e">
        <f>SUM(F29:Y29)+'SIESTAT 2'!AC27</f>
        <v>#REF!</v>
      </c>
      <c r="E29" s="12" t="e">
        <f t="shared" si="0"/>
        <v>#REF!</v>
      </c>
      <c r="F29" s="12"/>
      <c r="G29" s="12"/>
      <c r="H29" s="12">
        <f>ELENCO!H35</f>
        <v>0</v>
      </c>
      <c r="I29" s="12"/>
      <c r="J29" s="12" t="e">
        <f>#REF!</f>
        <v>#REF!</v>
      </c>
      <c r="K29" s="12"/>
      <c r="L29" s="12"/>
      <c r="M29" s="12"/>
      <c r="N29" s="12"/>
      <c r="O29" s="12"/>
      <c r="P29" s="12"/>
      <c r="Q29" s="12" t="e">
        <f>#REF!+#REF!</f>
        <v>#REF!</v>
      </c>
      <c r="R29" s="12"/>
      <c r="S29" s="12"/>
      <c r="T29" s="12" t="e">
        <f>#REF!+#REF!</f>
        <v>#REF!</v>
      </c>
      <c r="U29" s="12" t="e">
        <f>#REF!+#REF!</f>
        <v>#REF!</v>
      </c>
      <c r="V29" s="12" t="e">
        <f>#REF!</f>
        <v>#REF!</v>
      </c>
      <c r="W29" s="12"/>
      <c r="X29" s="13"/>
      <c r="Y29" s="13" t="e">
        <f>#REF!</f>
        <v>#REF!</v>
      </c>
      <c r="Z29" s="13" t="e">
        <f t="shared" si="1"/>
        <v>#REF!</v>
      </c>
    </row>
    <row r="30" spans="1:26" ht="15.95" customHeight="1" x14ac:dyDescent="0.2">
      <c r="A30" s="9" t="s">
        <v>33</v>
      </c>
      <c r="B30" s="10" t="s">
        <v>31</v>
      </c>
      <c r="C30" s="11" t="e">
        <f>#REF!</f>
        <v>#REF!</v>
      </c>
      <c r="D30" s="12" t="e">
        <f>SUM(F30:Y30)+'SIESTAT 2'!AC28</f>
        <v>#REF!</v>
      </c>
      <c r="E30" s="12" t="e">
        <f t="shared" si="0"/>
        <v>#REF!</v>
      </c>
      <c r="F30" s="12" t="e">
        <f>#REF!</f>
        <v>#REF!</v>
      </c>
      <c r="G30" s="12"/>
      <c r="H30" s="12">
        <f>ELENCO!H36</f>
        <v>0</v>
      </c>
      <c r="I30" s="12"/>
      <c r="J30" s="12" t="e">
        <f>#REF!</f>
        <v>#REF!</v>
      </c>
      <c r="K30" s="12"/>
      <c r="L30" s="12"/>
      <c r="M30" s="12"/>
      <c r="N30" s="12"/>
      <c r="O30" s="12"/>
      <c r="P30" s="12"/>
      <c r="Q30" s="12" t="e">
        <f>#REF!+#REF!</f>
        <v>#REF!</v>
      </c>
      <c r="R30" s="12"/>
      <c r="S30" s="12"/>
      <c r="T30" s="12" t="e">
        <f>#REF!+#REF!</f>
        <v>#REF!</v>
      </c>
      <c r="U30" s="12" t="e">
        <f>#REF!+#REF!</f>
        <v>#REF!</v>
      </c>
      <c r="V30" s="12" t="e">
        <f>#REF!</f>
        <v>#REF!</v>
      </c>
      <c r="W30" s="12"/>
      <c r="X30" s="13"/>
      <c r="Y30" s="13" t="e">
        <f>#REF!</f>
        <v>#REF!</v>
      </c>
      <c r="Z30" s="13" t="e">
        <f t="shared" si="1"/>
        <v>#REF!</v>
      </c>
    </row>
    <row r="31" spans="1:26" ht="15.95" customHeight="1" x14ac:dyDescent="0.2">
      <c r="A31" s="9" t="s">
        <v>34</v>
      </c>
      <c r="B31" s="10" t="s">
        <v>31</v>
      </c>
      <c r="C31" s="11" t="e">
        <f>#REF!</f>
        <v>#REF!</v>
      </c>
      <c r="D31" s="12" t="e">
        <f>SUM(F31:Y31)+'SIESTAT 2'!AC29</f>
        <v>#REF!</v>
      </c>
      <c r="E31" s="12" t="e">
        <f t="shared" si="0"/>
        <v>#REF!</v>
      </c>
      <c r="F31" s="12"/>
      <c r="G31" s="12"/>
      <c r="H31" s="12">
        <f>ELENCO!H37</f>
        <v>0</v>
      </c>
      <c r="I31" s="12"/>
      <c r="J31" s="12" t="e">
        <f>#REF!</f>
        <v>#REF!</v>
      </c>
      <c r="K31" s="12"/>
      <c r="L31" s="12"/>
      <c r="M31" s="12"/>
      <c r="N31" s="12"/>
      <c r="O31" s="12"/>
      <c r="P31" s="12"/>
      <c r="Q31" s="12" t="e">
        <f>#REF!+#REF!</f>
        <v>#REF!</v>
      </c>
      <c r="R31" s="12"/>
      <c r="S31" s="12"/>
      <c r="T31" s="12" t="e">
        <f>#REF!+#REF!</f>
        <v>#REF!</v>
      </c>
      <c r="U31" s="12" t="e">
        <f>#REF!+#REF!</f>
        <v>#REF!</v>
      </c>
      <c r="V31" s="12" t="e">
        <f>#REF!</f>
        <v>#REF!</v>
      </c>
      <c r="W31" s="12"/>
      <c r="X31" s="13"/>
      <c r="Y31" s="13" t="e">
        <f>#REF!</f>
        <v>#REF!</v>
      </c>
      <c r="Z31" s="13" t="e">
        <f t="shared" si="1"/>
        <v>#REF!</v>
      </c>
    </row>
    <row r="32" spans="1:26" ht="15.95" customHeight="1" x14ac:dyDescent="0.2">
      <c r="A32" s="9" t="s">
        <v>35</v>
      </c>
      <c r="B32" s="10" t="s">
        <v>31</v>
      </c>
      <c r="C32" s="11" t="e">
        <f>#REF!</f>
        <v>#REF!</v>
      </c>
      <c r="D32" s="12" t="e">
        <f>SUM(F32:Y32)+'SIESTAT 2'!AC30</f>
        <v>#REF!</v>
      </c>
      <c r="E32" s="12" t="e">
        <f t="shared" si="0"/>
        <v>#REF!</v>
      </c>
      <c r="F32" s="12" t="e">
        <f>#REF!</f>
        <v>#REF!</v>
      </c>
      <c r="G32" s="12"/>
      <c r="H32" s="12">
        <f>ELENCO!H38</f>
        <v>0</v>
      </c>
      <c r="I32" s="12"/>
      <c r="J32" s="12" t="e">
        <f>#REF!</f>
        <v>#REF!</v>
      </c>
      <c r="K32" s="12"/>
      <c r="L32" s="12"/>
      <c r="M32" s="12"/>
      <c r="N32" s="12"/>
      <c r="O32" s="12"/>
      <c r="P32" s="12"/>
      <c r="Q32" s="12" t="e">
        <f>#REF!+#REF!</f>
        <v>#REF!</v>
      </c>
      <c r="R32" s="12"/>
      <c r="S32" s="12"/>
      <c r="T32" s="12" t="e">
        <f>#REF!+#REF!</f>
        <v>#REF!</v>
      </c>
      <c r="U32" s="12" t="e">
        <f>#REF!+#REF!</f>
        <v>#REF!</v>
      </c>
      <c r="V32" s="12" t="e">
        <f>#REF!</f>
        <v>#REF!</v>
      </c>
      <c r="W32" s="12"/>
      <c r="X32" s="13"/>
      <c r="Y32" s="13" t="e">
        <f>#REF!</f>
        <v>#REF!</v>
      </c>
      <c r="Z32" s="13" t="e">
        <f t="shared" si="1"/>
        <v>#REF!</v>
      </c>
    </row>
    <row r="33" spans="1:26" ht="15.95" customHeight="1" x14ac:dyDescent="0.2">
      <c r="A33" s="9" t="s">
        <v>36</v>
      </c>
      <c r="B33" s="10" t="s">
        <v>37</v>
      </c>
      <c r="C33" s="11" t="e">
        <f>#REF!</f>
        <v>#REF!</v>
      </c>
      <c r="D33" s="12" t="e">
        <f>SUM(F33:Y33)+'SIESTAT 2'!AC31</f>
        <v>#REF!</v>
      </c>
      <c r="E33" s="12" t="e">
        <f t="shared" si="0"/>
        <v>#REF!</v>
      </c>
      <c r="F33" s="12" t="e">
        <f>#REF!</f>
        <v>#REF!</v>
      </c>
      <c r="G33" s="12"/>
      <c r="H33" s="12">
        <f>ELENCO!H41</f>
        <v>1</v>
      </c>
      <c r="I33" s="12"/>
      <c r="J33" s="12" t="e">
        <f>#REF!</f>
        <v>#REF!</v>
      </c>
      <c r="K33" s="12"/>
      <c r="L33" s="12"/>
      <c r="M33" s="12"/>
      <c r="N33" s="12"/>
      <c r="O33" s="12"/>
      <c r="P33" s="12"/>
      <c r="Q33" s="12" t="e">
        <f>#REF!+#REF!</f>
        <v>#REF!</v>
      </c>
      <c r="R33" s="12"/>
      <c r="S33" s="12"/>
      <c r="T33" s="12" t="e">
        <f>#REF!+#REF!</f>
        <v>#REF!</v>
      </c>
      <c r="U33" s="12" t="e">
        <f>#REF!+#REF!</f>
        <v>#REF!</v>
      </c>
      <c r="V33" s="12" t="e">
        <f>#REF!</f>
        <v>#REF!</v>
      </c>
      <c r="W33" s="12"/>
      <c r="X33" s="13"/>
      <c r="Y33" s="13" t="e">
        <f>#REF!</f>
        <v>#REF!</v>
      </c>
      <c r="Z33" s="13" t="e">
        <f t="shared" si="1"/>
        <v>#REF!</v>
      </c>
    </row>
    <row r="34" spans="1:26" ht="15.95" customHeight="1" x14ac:dyDescent="0.2">
      <c r="A34" s="9" t="s">
        <v>38</v>
      </c>
      <c r="B34" s="10" t="s">
        <v>37</v>
      </c>
      <c r="C34" s="11" t="e">
        <f>#REF!</f>
        <v>#REF!</v>
      </c>
      <c r="D34" s="12" t="e">
        <f>SUM(F34:Y34)+'SIESTAT 2'!AC32</f>
        <v>#REF!</v>
      </c>
      <c r="E34" s="12" t="e">
        <f t="shared" si="0"/>
        <v>#REF!</v>
      </c>
      <c r="F34" s="12" t="e">
        <f>#REF!</f>
        <v>#REF!</v>
      </c>
      <c r="G34" s="12"/>
      <c r="H34" s="12">
        <f>ELENCO!H42</f>
        <v>0</v>
      </c>
      <c r="I34" s="12"/>
      <c r="J34" s="12" t="e">
        <f>#REF!</f>
        <v>#REF!</v>
      </c>
      <c r="K34" s="12"/>
      <c r="L34" s="12"/>
      <c r="M34" s="12"/>
      <c r="N34" s="12"/>
      <c r="O34" s="12"/>
      <c r="P34" s="12"/>
      <c r="Q34" s="12" t="e">
        <f>#REF!+#REF!</f>
        <v>#REF!</v>
      </c>
      <c r="R34" s="12"/>
      <c r="S34" s="12"/>
      <c r="T34" s="12" t="e">
        <f>#REF!+#REF!</f>
        <v>#REF!</v>
      </c>
      <c r="U34" s="12" t="e">
        <f>#REF!+#REF!</f>
        <v>#REF!</v>
      </c>
      <c r="V34" s="12" t="e">
        <f>#REF!</f>
        <v>#REF!</v>
      </c>
      <c r="W34" s="12"/>
      <c r="X34" s="13"/>
      <c r="Y34" s="13" t="e">
        <f>#REF!</f>
        <v>#REF!</v>
      </c>
      <c r="Z34" s="13" t="e">
        <f t="shared" si="1"/>
        <v>#REF!</v>
      </c>
    </row>
    <row r="35" spans="1:26" ht="15.95" customHeight="1" x14ac:dyDescent="0.2">
      <c r="A35" s="9" t="s">
        <v>39</v>
      </c>
      <c r="B35" s="10" t="s">
        <v>40</v>
      </c>
      <c r="C35" s="11" t="e">
        <f>#REF!</f>
        <v>#REF!</v>
      </c>
      <c r="D35" s="12" t="e">
        <f>SUM(F35:Y35)+'SIESTAT 2'!AC33</f>
        <v>#REF!</v>
      </c>
      <c r="E35" s="12" t="e">
        <f t="shared" si="0"/>
        <v>#REF!</v>
      </c>
      <c r="F35" s="12" t="e">
        <f>#REF!</f>
        <v>#REF!</v>
      </c>
      <c r="G35" s="12"/>
      <c r="H35" s="12">
        <f>ELENCO!H45</f>
        <v>3</v>
      </c>
      <c r="I35" s="12"/>
      <c r="J35" s="12" t="e">
        <f>#REF!</f>
        <v>#REF!</v>
      </c>
      <c r="K35" s="12"/>
      <c r="L35" s="12"/>
      <c r="M35" s="12"/>
      <c r="N35" s="12"/>
      <c r="O35" s="12"/>
      <c r="P35" s="12"/>
      <c r="Q35" s="12" t="e">
        <f>#REF!+#REF!</f>
        <v>#REF!</v>
      </c>
      <c r="R35" s="12"/>
      <c r="S35" s="12"/>
      <c r="T35" s="12" t="e">
        <f>#REF!+#REF!</f>
        <v>#REF!</v>
      </c>
      <c r="U35" s="12" t="e">
        <f>#REF!+#REF!</f>
        <v>#REF!</v>
      </c>
      <c r="V35" s="12" t="e">
        <f>#REF!</f>
        <v>#REF!</v>
      </c>
      <c r="W35" s="12"/>
      <c r="X35" s="13"/>
      <c r="Y35" s="13" t="e">
        <f>#REF!</f>
        <v>#REF!</v>
      </c>
      <c r="Z35" s="13" t="e">
        <f t="shared" si="1"/>
        <v>#REF!</v>
      </c>
    </row>
    <row r="36" spans="1:26" ht="15.95" customHeight="1" x14ac:dyDescent="0.2">
      <c r="A36" s="16" t="s">
        <v>41</v>
      </c>
      <c r="B36" s="14" t="s">
        <v>40</v>
      </c>
      <c r="C36" s="11" t="e">
        <f>#REF!</f>
        <v>#REF!</v>
      </c>
      <c r="D36" s="12" t="e">
        <f>SUM(F36:Y36)+'SIESTAT 2'!AC34</f>
        <v>#REF!</v>
      </c>
      <c r="E36" s="12" t="e">
        <f t="shared" si="0"/>
        <v>#REF!</v>
      </c>
      <c r="F36" s="12">
        <f>ELENCO!P46</f>
        <v>0</v>
      </c>
      <c r="G36" s="12"/>
      <c r="H36" s="12">
        <f>ELENCO!H46</f>
        <v>2</v>
      </c>
      <c r="I36" s="12"/>
      <c r="J36" s="12" t="e">
        <f>#REF!</f>
        <v>#REF!</v>
      </c>
      <c r="K36" s="12"/>
      <c r="L36" s="12"/>
      <c r="M36" s="12"/>
      <c r="N36" s="12"/>
      <c r="O36" s="12"/>
      <c r="P36" s="12"/>
      <c r="Q36" s="12" t="e">
        <f>#REF!+#REF!</f>
        <v>#REF!</v>
      </c>
      <c r="R36" s="12"/>
      <c r="S36" s="12"/>
      <c r="T36" s="12" t="e">
        <f>#REF!+#REF!</f>
        <v>#REF!</v>
      </c>
      <c r="U36" s="12" t="e">
        <f>#REF!+#REF!</f>
        <v>#REF!</v>
      </c>
      <c r="V36" s="12" t="e">
        <f>#REF!</f>
        <v>#REF!</v>
      </c>
      <c r="W36" s="12"/>
      <c r="X36" s="13"/>
      <c r="Y36" s="13" t="e">
        <f>#REF!</f>
        <v>#REF!</v>
      </c>
      <c r="Z36" s="13" t="e">
        <f t="shared" si="1"/>
        <v>#REF!</v>
      </c>
    </row>
    <row r="37" spans="1:26" ht="15.95" customHeight="1" x14ac:dyDescent="0.2">
      <c r="A37" s="16" t="s">
        <v>42</v>
      </c>
      <c r="B37" s="14" t="s">
        <v>40</v>
      </c>
      <c r="C37" s="11" t="e">
        <f>#REF!</f>
        <v>#REF!</v>
      </c>
      <c r="D37" s="12" t="e">
        <f>SUM(F37:Y37)+'SIESTAT 2'!AC35</f>
        <v>#REF!</v>
      </c>
      <c r="E37" s="12" t="e">
        <f t="shared" si="0"/>
        <v>#REF!</v>
      </c>
      <c r="F37" s="12">
        <f>ELENCO!P47</f>
        <v>0</v>
      </c>
      <c r="G37" s="12"/>
      <c r="H37" s="12">
        <f>ELENCO!H47</f>
        <v>0</v>
      </c>
      <c r="I37" s="12"/>
      <c r="J37" s="12" t="e">
        <f>#REF!</f>
        <v>#REF!</v>
      </c>
      <c r="K37" s="12"/>
      <c r="L37" s="12"/>
      <c r="M37" s="12"/>
      <c r="N37" s="12"/>
      <c r="O37" s="12"/>
      <c r="P37" s="12"/>
      <c r="Q37" s="12" t="e">
        <f>#REF!+#REF!</f>
        <v>#REF!</v>
      </c>
      <c r="R37" s="12"/>
      <c r="S37" s="12"/>
      <c r="T37" s="12" t="e">
        <f>#REF!+#REF!</f>
        <v>#REF!</v>
      </c>
      <c r="U37" s="12" t="e">
        <f>#REF!+#REF!</f>
        <v>#REF!</v>
      </c>
      <c r="V37" s="12" t="e">
        <f>#REF!</f>
        <v>#REF!</v>
      </c>
      <c r="W37" s="12"/>
      <c r="X37" s="13"/>
      <c r="Y37" s="13" t="e">
        <f>#REF!</f>
        <v>#REF!</v>
      </c>
      <c r="Z37" s="13" t="e">
        <f t="shared" si="1"/>
        <v>#REF!</v>
      </c>
    </row>
    <row r="38" spans="1:26" ht="15.95" customHeight="1" x14ac:dyDescent="0.2">
      <c r="A38" s="9" t="s">
        <v>43</v>
      </c>
      <c r="B38" s="14" t="s">
        <v>40</v>
      </c>
      <c r="C38" s="11" t="e">
        <f>#REF!+#REF!</f>
        <v>#REF!</v>
      </c>
      <c r="D38" s="12" t="e">
        <f>SUM(F38:Y38)+'SIESTAT 2'!AC36</f>
        <v>#REF!</v>
      </c>
      <c r="E38" s="12" t="e">
        <f t="shared" si="0"/>
        <v>#REF!</v>
      </c>
      <c r="F38" s="12">
        <f>ELENCO!P50</f>
        <v>0</v>
      </c>
      <c r="G38" s="12"/>
      <c r="H38" s="12">
        <f>ELENCO!H49+ELENCO!H50</f>
        <v>0</v>
      </c>
      <c r="I38" s="12"/>
      <c r="J38" s="12" t="e">
        <f>#REF!+#REF!</f>
        <v>#REF!</v>
      </c>
      <c r="K38" s="12"/>
      <c r="L38" s="12"/>
      <c r="M38" s="12"/>
      <c r="N38" s="12"/>
      <c r="O38" s="12"/>
      <c r="P38" s="12"/>
      <c r="Q38" s="12" t="e">
        <f>#REF!+#REF!+#REF!+#REF!</f>
        <v>#REF!</v>
      </c>
      <c r="R38" s="12"/>
      <c r="S38" s="12"/>
      <c r="T38" s="12" t="e">
        <f>#REF!+#REF!+#REF!+#REF!</f>
        <v>#REF!</v>
      </c>
      <c r="U38" s="12" t="e">
        <f>#REF!+#REF!+#REF!+#REF!</f>
        <v>#REF!</v>
      </c>
      <c r="V38" s="12" t="e">
        <f>#REF!+M46</f>
        <v>#REF!</v>
      </c>
      <c r="W38" s="12"/>
      <c r="X38" s="13"/>
      <c r="Y38" s="13" t="e">
        <f>#REF!+#REF!</f>
        <v>#REF!</v>
      </c>
      <c r="Z38" s="13" t="e">
        <f t="shared" si="1"/>
        <v>#REF!</v>
      </c>
    </row>
    <row r="39" spans="1:26" ht="15.95" customHeight="1" x14ac:dyDescent="0.2">
      <c r="A39" s="16" t="s">
        <v>44</v>
      </c>
      <c r="B39" s="14" t="s">
        <v>40</v>
      </c>
      <c r="C39" s="11" t="e">
        <f>#REF!</f>
        <v>#REF!</v>
      </c>
      <c r="D39" s="12" t="e">
        <f>SUM(F39:Y39)+'SIESTAT 2'!AC37</f>
        <v>#REF!</v>
      </c>
      <c r="E39" s="12" t="e">
        <f t="shared" si="0"/>
        <v>#REF!</v>
      </c>
      <c r="F39" s="12">
        <f>ELENCO!P47+ELENCO!P48</f>
        <v>0</v>
      </c>
      <c r="G39" s="12"/>
      <c r="H39" s="12">
        <f>ELENCO!H47</f>
        <v>0</v>
      </c>
      <c r="I39" s="12"/>
      <c r="J39" s="12" t="e">
        <f>#REF!+#REF!</f>
        <v>#REF!</v>
      </c>
      <c r="K39" s="12"/>
      <c r="L39" s="12"/>
      <c r="M39" s="12"/>
      <c r="N39" s="12"/>
      <c r="O39" s="12"/>
      <c r="P39" s="12"/>
      <c r="Q39" s="12" t="e">
        <f>#REF!+#REF!+#REF!+#REF!</f>
        <v>#REF!</v>
      </c>
      <c r="R39" s="12"/>
      <c r="S39" s="12"/>
      <c r="T39" s="12" t="e">
        <f>#REF!+#REF!</f>
        <v>#REF!</v>
      </c>
      <c r="U39" s="12" t="e">
        <f>SUM(#REF!)</f>
        <v>#REF!</v>
      </c>
      <c r="V39" s="12" t="e">
        <f>#REF!+#REF!</f>
        <v>#REF!</v>
      </c>
      <c r="W39" s="12"/>
      <c r="X39" s="13"/>
      <c r="Y39" s="13" t="e">
        <f>#REF!+#REF!</f>
        <v>#REF!</v>
      </c>
      <c r="Z39" s="13" t="e">
        <f t="shared" si="1"/>
        <v>#REF!</v>
      </c>
    </row>
    <row r="40" spans="1:26" ht="15.95" customHeight="1" x14ac:dyDescent="0.2">
      <c r="A40" s="16" t="s">
        <v>45</v>
      </c>
      <c r="B40" s="14" t="s">
        <v>40</v>
      </c>
      <c r="C40" s="11" t="e">
        <f>#REF!</f>
        <v>#REF!</v>
      </c>
      <c r="D40" s="12">
        <f>SUM(F40:Y40)+'SIESTAT 2'!AC38</f>
        <v>8</v>
      </c>
      <c r="E40" s="12" t="e">
        <f t="shared" si="0"/>
        <v>#REF!</v>
      </c>
      <c r="F40" s="12"/>
      <c r="G40" s="12"/>
      <c r="H40" s="12">
        <f>ELENCO!H49</f>
        <v>0</v>
      </c>
      <c r="I40" s="12"/>
      <c r="J40" s="12">
        <f>ELENCO!K48</f>
        <v>0</v>
      </c>
      <c r="K40" s="12"/>
      <c r="L40" s="12"/>
      <c r="M40" s="12"/>
      <c r="N40" s="12"/>
      <c r="O40" s="12"/>
      <c r="P40" s="12"/>
      <c r="Q40" s="12">
        <f>ELENCO!I49</f>
        <v>5</v>
      </c>
      <c r="R40" s="12"/>
      <c r="S40" s="12"/>
      <c r="T40" s="12">
        <f>ELENCO!M48+ELENCO!N48</f>
        <v>0</v>
      </c>
      <c r="U40" s="12">
        <f>ELENCO!J48+ELENCO!L48</f>
        <v>0</v>
      </c>
      <c r="V40" s="12">
        <f>ELENCO!F49</f>
        <v>0</v>
      </c>
      <c r="W40" s="12"/>
      <c r="X40" s="13"/>
      <c r="Y40" s="13">
        <f>ELENCO!R48</f>
        <v>0</v>
      </c>
      <c r="Z40" s="13">
        <f t="shared" si="1"/>
        <v>5</v>
      </c>
    </row>
    <row r="41" spans="1:26" ht="15.95" customHeight="1" x14ac:dyDescent="0.2">
      <c r="A41" s="9" t="s">
        <v>46</v>
      </c>
      <c r="B41" s="14" t="s">
        <v>40</v>
      </c>
      <c r="C41" s="11" t="e">
        <f>#REF!</f>
        <v>#REF!</v>
      </c>
      <c r="D41" s="12" t="e">
        <f>SUM(F41:Y41)+'SIESTAT 2'!AC39</f>
        <v>#REF!</v>
      </c>
      <c r="E41" s="12" t="e">
        <f t="shared" si="0"/>
        <v>#REF!</v>
      </c>
      <c r="F41" s="12"/>
      <c r="G41" s="12"/>
      <c r="H41" s="12">
        <f>ELENCO!H51</f>
        <v>2</v>
      </c>
      <c r="I41" s="12"/>
      <c r="J41" s="12" t="e">
        <f>#REF!</f>
        <v>#REF!</v>
      </c>
      <c r="K41" s="12"/>
      <c r="L41" s="12"/>
      <c r="M41" s="12"/>
      <c r="N41" s="12"/>
      <c r="O41" s="12"/>
      <c r="P41" s="12"/>
      <c r="Q41" s="12" t="e">
        <f>#REF!+#REF!+#REF!+#REF!</f>
        <v>#REF!</v>
      </c>
      <c r="R41" s="12"/>
      <c r="S41" s="12"/>
      <c r="T41" s="12" t="e">
        <f>#REF!+#REF!</f>
        <v>#REF!</v>
      </c>
      <c r="U41" s="12" t="e">
        <f>#REF!+#REF!+#REF!+#REF!</f>
        <v>#REF!</v>
      </c>
      <c r="V41" s="12" t="e">
        <f>#REF!</f>
        <v>#REF!</v>
      </c>
      <c r="W41" s="12"/>
      <c r="X41" s="13"/>
      <c r="Y41" s="13" t="e">
        <f>#REF!+#REF!</f>
        <v>#REF!</v>
      </c>
      <c r="Z41" s="13" t="e">
        <f t="shared" si="1"/>
        <v>#REF!</v>
      </c>
    </row>
    <row r="42" spans="1:26" ht="15.95" customHeight="1" x14ac:dyDescent="0.2">
      <c r="A42" s="16" t="s">
        <v>47</v>
      </c>
      <c r="B42" s="14" t="s">
        <v>40</v>
      </c>
      <c r="C42" s="11"/>
      <c r="D42" s="12">
        <f>SUM(F42:Y42)+'SIESTAT 2'!AC40</f>
        <v>0</v>
      </c>
      <c r="E42" s="12">
        <f t="shared" si="0"/>
        <v>0</v>
      </c>
      <c r="F42" s="12"/>
      <c r="G42" s="12"/>
      <c r="H42" s="12"/>
      <c r="I42" s="12"/>
      <c r="J42" s="12"/>
      <c r="K42" s="12"/>
      <c r="L42" s="12"/>
      <c r="M42" s="12"/>
      <c r="N42" s="12"/>
      <c r="O42" s="12"/>
      <c r="P42" s="12"/>
      <c r="Q42" s="12"/>
      <c r="R42" s="12"/>
      <c r="S42" s="12"/>
      <c r="T42" s="12"/>
      <c r="U42" s="12"/>
      <c r="V42" s="12"/>
      <c r="W42" s="12"/>
      <c r="X42" s="13"/>
      <c r="Y42" s="13"/>
      <c r="Z42" s="13">
        <f t="shared" si="1"/>
        <v>0</v>
      </c>
    </row>
    <row r="43" spans="1:26" ht="14.25" customHeight="1" x14ac:dyDescent="0.2">
      <c r="A43" s="125" t="s">
        <v>8</v>
      </c>
      <c r="B43" s="125"/>
      <c r="C43" s="17" t="e">
        <f t="shared" ref="C43:Z43" si="2">SUM(C7:C42)</f>
        <v>#REF!</v>
      </c>
      <c r="D43" s="17" t="e">
        <f t="shared" si="2"/>
        <v>#REF!</v>
      </c>
      <c r="E43" s="17" t="e">
        <f t="shared" si="2"/>
        <v>#REF!</v>
      </c>
      <c r="F43" s="17" t="e">
        <f t="shared" si="2"/>
        <v>#REF!</v>
      </c>
      <c r="G43" s="17">
        <f t="shared" si="2"/>
        <v>0</v>
      </c>
      <c r="H43" s="17" t="e">
        <f t="shared" si="2"/>
        <v>#REF!</v>
      </c>
      <c r="I43" s="17">
        <f t="shared" si="2"/>
        <v>0</v>
      </c>
      <c r="J43" s="17" t="e">
        <f t="shared" si="2"/>
        <v>#REF!</v>
      </c>
      <c r="K43" s="17">
        <f t="shared" si="2"/>
        <v>0</v>
      </c>
      <c r="L43" s="17">
        <f t="shared" si="2"/>
        <v>0</v>
      </c>
      <c r="M43" s="17">
        <f t="shared" si="2"/>
        <v>0</v>
      </c>
      <c r="N43" s="17">
        <f t="shared" si="2"/>
        <v>0</v>
      </c>
      <c r="O43" s="17">
        <f t="shared" si="2"/>
        <v>0</v>
      </c>
      <c r="P43" s="17">
        <f t="shared" si="2"/>
        <v>0</v>
      </c>
      <c r="Q43" s="17" t="e">
        <f t="shared" si="2"/>
        <v>#REF!</v>
      </c>
      <c r="R43" s="17">
        <f t="shared" si="2"/>
        <v>0</v>
      </c>
      <c r="S43" s="17">
        <f t="shared" si="2"/>
        <v>0</v>
      </c>
      <c r="T43" s="17" t="e">
        <f t="shared" si="2"/>
        <v>#REF!</v>
      </c>
      <c r="U43" s="17" t="e">
        <f t="shared" si="2"/>
        <v>#REF!</v>
      </c>
      <c r="V43" s="17" t="e">
        <f t="shared" si="2"/>
        <v>#REF!</v>
      </c>
      <c r="W43" s="17">
        <f t="shared" si="2"/>
        <v>0</v>
      </c>
      <c r="X43" s="17">
        <f t="shared" si="2"/>
        <v>0</v>
      </c>
      <c r="Y43" s="17" t="e">
        <f t="shared" si="2"/>
        <v>#REF!</v>
      </c>
      <c r="Z43" s="17" t="e">
        <f t="shared" si="2"/>
        <v>#REF!</v>
      </c>
    </row>
    <row r="44" spans="1:26" ht="14.25" x14ac:dyDescent="0.2">
      <c r="A44" s="18"/>
      <c r="B44" s="18"/>
      <c r="C44" s="18"/>
      <c r="D44" s="18"/>
      <c r="E44" s="18"/>
      <c r="F44" s="18"/>
      <c r="G44" s="18"/>
      <c r="H44" s="18"/>
      <c r="I44" s="18"/>
      <c r="J44" s="18"/>
      <c r="K44" s="18"/>
      <c r="L44" s="18"/>
      <c r="M44" s="18"/>
      <c r="N44" s="18"/>
      <c r="O44" s="18"/>
      <c r="P44" s="18"/>
      <c r="Q44" s="18"/>
      <c r="R44" s="18"/>
      <c r="S44" s="18"/>
      <c r="T44" s="18"/>
      <c r="U44" s="18"/>
      <c r="V44" s="18"/>
      <c r="W44" s="18"/>
      <c r="X44" s="18"/>
      <c r="Y44" s="18"/>
      <c r="Z44" s="18"/>
    </row>
    <row r="45" spans="1:26" ht="14.25" x14ac:dyDescent="0.2">
      <c r="A45" s="18"/>
      <c r="B45" s="18"/>
      <c r="C45" s="18"/>
      <c r="D45" s="18"/>
      <c r="E45" s="18"/>
      <c r="F45" s="18"/>
      <c r="G45" s="18"/>
      <c r="H45" s="18"/>
      <c r="I45" s="18"/>
      <c r="J45" s="18"/>
      <c r="K45" s="18"/>
      <c r="L45" s="18"/>
      <c r="M45" s="18"/>
      <c r="N45" s="18"/>
      <c r="O45" s="18"/>
      <c r="P45" s="18"/>
      <c r="Q45" s="18"/>
      <c r="R45" s="18"/>
      <c r="S45" s="18"/>
      <c r="T45" s="18"/>
      <c r="U45" s="18"/>
      <c r="V45" s="18"/>
      <c r="W45" s="18"/>
      <c r="X45" s="18"/>
      <c r="Y45" s="18"/>
      <c r="Z45" s="18"/>
    </row>
    <row r="47" spans="1:26" x14ac:dyDescent="0.25">
      <c r="A47" s="19"/>
      <c r="B47" s="20" t="s">
        <v>48</v>
      </c>
      <c r="C47" s="118" t="s">
        <v>49</v>
      </c>
      <c r="D47" s="118"/>
      <c r="E47" s="118"/>
      <c r="F47" s="118" t="s">
        <v>50</v>
      </c>
      <c r="G47" s="118"/>
      <c r="H47" s="118"/>
      <c r="I47" s="118"/>
      <c r="J47" s="118" t="s">
        <v>51</v>
      </c>
      <c r="K47" s="118"/>
      <c r="L47" s="118"/>
      <c r="M47" s="118"/>
      <c r="N47" s="118" t="s">
        <v>52</v>
      </c>
      <c r="O47" s="118"/>
      <c r="P47" s="118"/>
      <c r="Q47" s="118"/>
      <c r="R47"/>
      <c r="S47" s="120" t="s">
        <v>53</v>
      </c>
      <c r="T47" s="120"/>
      <c r="U47" s="120"/>
      <c r="V47" s="120"/>
      <c r="W47" s="120"/>
      <c r="X47" s="120"/>
      <c r="Y47" s="120"/>
      <c r="Z47" s="120"/>
    </row>
    <row r="48" spans="1:26" x14ac:dyDescent="0.25">
      <c r="A48" s="21" t="s">
        <v>54</v>
      </c>
      <c r="B48" s="22">
        <v>0</v>
      </c>
      <c r="C48" s="117">
        <v>1</v>
      </c>
      <c r="D48" s="117"/>
      <c r="E48" s="117"/>
      <c r="F48" s="117">
        <v>2</v>
      </c>
      <c r="G48" s="117"/>
      <c r="H48" s="117"/>
      <c r="I48" s="117"/>
      <c r="J48" s="117">
        <v>0</v>
      </c>
      <c r="K48" s="117"/>
      <c r="L48" s="117"/>
      <c r="M48" s="117"/>
      <c r="N48" s="118">
        <f>SUM(B48:J48)</f>
        <v>3</v>
      </c>
      <c r="O48" s="118"/>
      <c r="P48" s="118"/>
      <c r="Q48" s="118"/>
      <c r="R48"/>
      <c r="S48" s="121" t="s">
        <v>55</v>
      </c>
      <c r="T48" s="121"/>
      <c r="U48" s="121"/>
      <c r="V48" s="121"/>
      <c r="W48" s="121"/>
      <c r="X48" s="121"/>
      <c r="Y48" s="121"/>
      <c r="Z48" s="121"/>
    </row>
    <row r="49" spans="1:21" customFormat="1" ht="18" customHeight="1" x14ac:dyDescent="0.25">
      <c r="A49" s="23" t="s">
        <v>56</v>
      </c>
      <c r="B49" s="24">
        <v>0</v>
      </c>
      <c r="C49" s="116">
        <v>0</v>
      </c>
      <c r="D49" s="116"/>
      <c r="E49" s="116"/>
      <c r="F49" s="116">
        <v>2</v>
      </c>
      <c r="G49" s="116"/>
      <c r="H49" s="116"/>
      <c r="I49" s="116"/>
      <c r="J49" s="117">
        <v>0</v>
      </c>
      <c r="K49" s="117"/>
      <c r="L49" s="117"/>
      <c r="M49" s="117"/>
      <c r="N49" s="118">
        <f>SUM(B49:J49)</f>
        <v>2</v>
      </c>
      <c r="O49" s="118"/>
      <c r="P49" s="118"/>
      <c r="Q49" s="118"/>
      <c r="U49" s="4"/>
    </row>
    <row r="50" spans="1:21" ht="18" customHeight="1" x14ac:dyDescent="0.25">
      <c r="A50" s="25" t="s">
        <v>8</v>
      </c>
      <c r="B50" s="26">
        <f>SUM(B47,B49)</f>
        <v>0</v>
      </c>
      <c r="C50" s="119">
        <f>SUM(C48,C49)</f>
        <v>1</v>
      </c>
      <c r="D50" s="119"/>
      <c r="E50" s="119"/>
      <c r="F50" s="119">
        <f>SUM(F48,F49)</f>
        <v>4</v>
      </c>
      <c r="G50" s="119"/>
      <c r="H50" s="119"/>
      <c r="I50" s="119"/>
      <c r="J50" s="119">
        <f>SUM(J48,J49)</f>
        <v>0</v>
      </c>
      <c r="K50" s="119"/>
      <c r="L50" s="119"/>
      <c r="M50" s="119"/>
      <c r="N50" s="118">
        <f>SUM(B50:J50)</f>
        <v>5</v>
      </c>
      <c r="O50" s="118"/>
      <c r="P50" s="118"/>
      <c r="Q50" s="118"/>
      <c r="R50"/>
      <c r="S50"/>
      <c r="T50"/>
      <c r="U50" s="4"/>
    </row>
  </sheetData>
  <sheetProtection selectLockedCells="1" selectUnlockedCells="1"/>
  <mergeCells count="22">
    <mergeCell ref="B2:L2"/>
    <mergeCell ref="C3:E3"/>
    <mergeCell ref="C4:E4"/>
    <mergeCell ref="A43:B43"/>
    <mergeCell ref="C47:E47"/>
    <mergeCell ref="F47:I47"/>
    <mergeCell ref="J47:M47"/>
    <mergeCell ref="N47:Q47"/>
    <mergeCell ref="S47:Z47"/>
    <mergeCell ref="C48:E48"/>
    <mergeCell ref="F48:I48"/>
    <mergeCell ref="J48:M48"/>
    <mergeCell ref="N48:Q48"/>
    <mergeCell ref="S48:Z48"/>
    <mergeCell ref="C49:E49"/>
    <mergeCell ref="F49:I49"/>
    <mergeCell ref="J49:M49"/>
    <mergeCell ref="N49:Q49"/>
    <mergeCell ref="C50:E50"/>
    <mergeCell ref="F50:I50"/>
    <mergeCell ref="J50:M50"/>
    <mergeCell ref="N50:Q50"/>
  </mergeCells>
  <conditionalFormatting sqref="E10:F46 D43:D46">
    <cfRule type="cellIs" dxfId="1" priority="1" stopIfTrue="1" operator="equal">
      <formula>0</formula>
    </cfRule>
  </conditionalFormatting>
  <pageMargins left="0.3" right="0.11805555555555555" top="0.2361111111111111" bottom="0.47222222222222221" header="0.51180555555555551" footer="0.51180555555555551"/>
  <pageSetup paperSize="9" scale="63" firstPageNumber="0" orientation="landscape" horizontalDpi="300" verticalDpi="300" r:id="rId1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DAEAE5C-4CEA-4D34-BFDA-084F4725D444}">
  <dimension ref="A1:AI44"/>
  <sheetViews>
    <sheetView view="pageBreakPreview" topLeftCell="A4" zoomScale="75" zoomScaleNormal="75" zoomScaleSheetLayoutView="75" workbookViewId="0">
      <pane ySplit="1" topLeftCell="A5" activePane="bottomLeft" state="frozen"/>
      <selection activeCell="A4" sqref="A4"/>
      <selection pane="bottomLeft" activeCell="B61" sqref="B61"/>
    </sheetView>
  </sheetViews>
  <sheetFormatPr defaultColWidth="8.5703125" defaultRowHeight="12.75" x14ac:dyDescent="0.2"/>
  <cols>
    <col min="1" max="1" width="39.42578125" customWidth="1"/>
    <col min="2" max="2" width="47.85546875" customWidth="1"/>
    <col min="3" max="3" width="5.42578125" customWidth="1"/>
    <col min="4" max="5" width="4.7109375" customWidth="1"/>
    <col min="6" max="6" width="5.28515625" customWidth="1"/>
    <col min="7" max="8" width="0" hidden="1" customWidth="1"/>
    <col min="9" max="16" width="4.7109375" customWidth="1"/>
    <col min="17" max="17" width="5.28515625" customWidth="1"/>
    <col min="18" max="18" width="5.42578125" customWidth="1"/>
    <col min="19" max="25" width="0" hidden="1" customWidth="1"/>
    <col min="26" max="28" width="0" style="27" hidden="1" customWidth="1"/>
    <col min="29" max="29" width="12.7109375" style="27" customWidth="1"/>
    <col min="30" max="30" width="4.42578125" style="27" customWidth="1"/>
    <col min="31" max="31" width="2.85546875" style="27" customWidth="1"/>
    <col min="32" max="35" width="5.42578125" style="27" customWidth="1"/>
  </cols>
  <sheetData>
    <row r="1" spans="1:35" ht="17.850000000000001" customHeight="1" x14ac:dyDescent="0.2">
      <c r="A1" s="126" t="s">
        <v>0</v>
      </c>
      <c r="B1" s="126"/>
      <c r="C1" s="126"/>
      <c r="D1" s="126"/>
      <c r="E1" s="126"/>
      <c r="F1" s="126"/>
      <c r="G1" s="126"/>
      <c r="H1" s="126"/>
      <c r="I1" s="126"/>
      <c r="J1" s="126"/>
      <c r="K1" s="126"/>
      <c r="L1" s="126"/>
      <c r="M1" s="126"/>
      <c r="N1" s="126"/>
      <c r="O1" s="126"/>
      <c r="P1" s="126"/>
      <c r="Q1" s="126"/>
      <c r="R1" s="126"/>
      <c r="S1" s="28"/>
      <c r="T1" s="28"/>
      <c r="U1" s="28"/>
      <c r="V1" s="28"/>
      <c r="W1" s="28"/>
      <c r="X1" s="28"/>
      <c r="Y1" s="28"/>
      <c r="Z1" s="29"/>
      <c r="AA1" s="29"/>
      <c r="AB1" s="29"/>
      <c r="AC1" s="29"/>
      <c r="AD1" s="29"/>
      <c r="AE1" s="29"/>
      <c r="AF1" s="29"/>
      <c r="AG1" s="29"/>
      <c r="AH1" s="29"/>
      <c r="AI1" s="29"/>
    </row>
    <row r="2" spans="1:35" ht="16.899999999999999" customHeight="1" x14ac:dyDescent="0.2">
      <c r="A2" s="126" t="s">
        <v>57</v>
      </c>
      <c r="B2" s="126"/>
      <c r="C2" s="126"/>
      <c r="D2" s="126"/>
      <c r="E2" s="126"/>
      <c r="F2" s="126"/>
      <c r="G2" s="126"/>
      <c r="H2" s="126"/>
      <c r="I2" s="126"/>
      <c r="J2" s="126"/>
      <c r="K2" s="126"/>
      <c r="L2" s="126"/>
      <c r="M2" s="126"/>
      <c r="N2" s="126"/>
      <c r="O2" s="126"/>
      <c r="P2" s="126"/>
      <c r="Q2" s="126"/>
      <c r="R2" s="126"/>
      <c r="S2" s="28"/>
      <c r="T2" s="28"/>
      <c r="U2" s="28"/>
      <c r="V2" s="28"/>
      <c r="W2" s="28"/>
      <c r="X2" s="28"/>
      <c r="Y2" s="28"/>
      <c r="Z2" s="29"/>
      <c r="AA2" s="29"/>
      <c r="AB2" s="29"/>
      <c r="AC2" s="29"/>
      <c r="AD2" s="29"/>
      <c r="AE2" s="29"/>
      <c r="AF2" s="29"/>
      <c r="AG2" s="29"/>
      <c r="AH2" s="29"/>
      <c r="AI2" s="29"/>
    </row>
    <row r="3" spans="1:35" ht="14.85" customHeight="1" x14ac:dyDescent="0.2">
      <c r="A3" s="126" t="s">
        <v>58</v>
      </c>
      <c r="B3" s="126"/>
      <c r="C3" s="126"/>
      <c r="D3" s="126"/>
      <c r="E3" s="126"/>
      <c r="F3" s="126"/>
      <c r="G3" s="126"/>
      <c r="H3" s="126"/>
      <c r="I3" s="126"/>
      <c r="J3" s="126"/>
      <c r="K3" s="126"/>
      <c r="L3" s="126"/>
      <c r="M3" s="126"/>
      <c r="N3" s="126"/>
      <c r="O3" s="126"/>
      <c r="P3" s="126"/>
      <c r="Q3" s="126"/>
      <c r="R3" s="126"/>
      <c r="S3" s="28"/>
      <c r="T3" s="28"/>
      <c r="U3" s="28"/>
      <c r="V3" s="28"/>
      <c r="W3" s="28"/>
      <c r="X3" s="28"/>
      <c r="Y3" s="28"/>
      <c r="Z3" s="29"/>
      <c r="AA3" s="29"/>
      <c r="AB3" s="29"/>
      <c r="AC3" s="29"/>
      <c r="AD3" s="29"/>
      <c r="AE3" s="29"/>
      <c r="AF3" s="29"/>
      <c r="AG3" s="29"/>
      <c r="AH3" s="29"/>
      <c r="AI3" s="29"/>
    </row>
    <row r="4" spans="1:35" ht="64.7" customHeight="1" x14ac:dyDescent="0.2">
      <c r="A4" s="6" t="s">
        <v>3</v>
      </c>
      <c r="B4" s="6" t="s">
        <v>4</v>
      </c>
      <c r="C4" s="28" t="s">
        <v>59</v>
      </c>
      <c r="D4" s="28" t="s">
        <v>60</v>
      </c>
      <c r="E4" s="28" t="s">
        <v>61</v>
      </c>
      <c r="F4" s="28" t="s">
        <v>62</v>
      </c>
      <c r="G4" s="28" t="s">
        <v>59</v>
      </c>
      <c r="H4" s="28" t="s">
        <v>59</v>
      </c>
      <c r="I4" s="28" t="s">
        <v>63</v>
      </c>
      <c r="J4" s="28" t="s">
        <v>64</v>
      </c>
      <c r="K4" s="28" t="s">
        <v>65</v>
      </c>
      <c r="L4" s="28" t="s">
        <v>66</v>
      </c>
      <c r="M4" s="28" t="s">
        <v>67</v>
      </c>
      <c r="N4" s="28" t="s">
        <v>68</v>
      </c>
      <c r="O4" s="28" t="s">
        <v>69</v>
      </c>
      <c r="P4" s="28" t="s">
        <v>70</v>
      </c>
      <c r="Q4" s="28" t="s">
        <v>71</v>
      </c>
      <c r="R4" s="28" t="s">
        <v>72</v>
      </c>
      <c r="S4" s="28" t="s">
        <v>72</v>
      </c>
      <c r="T4" s="28" t="s">
        <v>72</v>
      </c>
      <c r="U4" s="28" t="s">
        <v>72</v>
      </c>
      <c r="V4" s="28" t="s">
        <v>72</v>
      </c>
      <c r="W4" s="28" t="s">
        <v>72</v>
      </c>
      <c r="X4" s="28" t="s">
        <v>72</v>
      </c>
      <c r="Y4" s="28" t="s">
        <v>72</v>
      </c>
      <c r="Z4" s="28" t="s">
        <v>72</v>
      </c>
      <c r="AA4" s="28" t="s">
        <v>72</v>
      </c>
      <c r="AB4" s="28" t="s">
        <v>72</v>
      </c>
      <c r="AC4" s="8" t="s">
        <v>8</v>
      </c>
      <c r="AD4" s="29"/>
      <c r="AE4" s="29"/>
      <c r="AF4" s="29"/>
      <c r="AG4" s="29"/>
      <c r="AH4" s="29"/>
      <c r="AI4" s="29"/>
    </row>
    <row r="5" spans="1:35" ht="10.9" customHeight="1" x14ac:dyDescent="0.2">
      <c r="A5" s="9" t="s">
        <v>9</v>
      </c>
      <c r="B5" s="10" t="s">
        <v>10</v>
      </c>
      <c r="C5" s="11"/>
      <c r="D5" s="12"/>
      <c r="E5" s="12"/>
      <c r="F5" s="12"/>
      <c r="G5" s="12"/>
      <c r="H5" s="12"/>
      <c r="I5" s="12"/>
      <c r="J5" s="12"/>
      <c r="K5" s="12"/>
      <c r="L5" s="12"/>
      <c r="M5" s="12"/>
      <c r="N5" s="12"/>
      <c r="O5" s="12"/>
      <c r="P5" s="12"/>
      <c r="Q5" s="12"/>
      <c r="R5" s="12"/>
      <c r="S5" s="12"/>
      <c r="T5" s="12"/>
      <c r="U5" s="12"/>
      <c r="V5" s="12"/>
      <c r="W5" s="12"/>
      <c r="X5" s="12"/>
      <c r="Y5" s="12"/>
      <c r="Z5" s="12"/>
      <c r="AA5" s="12"/>
      <c r="AB5" s="12"/>
      <c r="AC5" s="12">
        <f t="shared" ref="AC5:AC40" si="0">SUM(C5:R5)</f>
        <v>0</v>
      </c>
      <c r="AD5" s="29"/>
      <c r="AE5" s="29"/>
      <c r="AF5" s="29"/>
      <c r="AG5" s="29"/>
      <c r="AH5" s="29"/>
      <c r="AI5" s="29"/>
    </row>
    <row r="6" spans="1:35" ht="13.7" customHeight="1" x14ac:dyDescent="0.2">
      <c r="A6" s="9" t="s">
        <v>11</v>
      </c>
      <c r="B6" s="10" t="s">
        <v>10</v>
      </c>
      <c r="C6" s="11"/>
      <c r="D6" s="12"/>
      <c r="E6" s="12"/>
      <c r="F6" s="12"/>
      <c r="G6" s="12"/>
      <c r="H6" s="12"/>
      <c r="I6" s="12"/>
      <c r="J6" s="12"/>
      <c r="K6" s="12"/>
      <c r="L6" s="12"/>
      <c r="M6" s="12"/>
      <c r="N6" s="12"/>
      <c r="O6" s="12">
        <v>1</v>
      </c>
      <c r="P6" s="12"/>
      <c r="Q6" s="12"/>
      <c r="R6" s="12"/>
      <c r="S6" s="12"/>
      <c r="T6" s="12"/>
      <c r="U6" s="12"/>
      <c r="V6" s="12"/>
      <c r="W6" s="12"/>
      <c r="X6" s="12"/>
      <c r="Y6" s="12"/>
      <c r="Z6" s="12"/>
      <c r="AA6" s="12"/>
      <c r="AB6" s="12"/>
      <c r="AC6" s="12">
        <f t="shared" si="0"/>
        <v>1</v>
      </c>
      <c r="AD6" s="29"/>
      <c r="AE6" s="29"/>
      <c r="AF6" s="29"/>
      <c r="AG6" s="29"/>
      <c r="AH6" s="29"/>
      <c r="AI6" s="29"/>
    </row>
    <row r="7" spans="1:35" ht="13.7" customHeight="1" x14ac:dyDescent="0.2">
      <c r="A7" s="9" t="s">
        <v>11</v>
      </c>
      <c r="B7" s="10" t="s">
        <v>12</v>
      </c>
      <c r="C7" s="11"/>
      <c r="D7" s="12"/>
      <c r="E7" s="12"/>
      <c r="F7" s="12"/>
      <c r="G7" s="12"/>
      <c r="H7" s="12"/>
      <c r="I7" s="12"/>
      <c r="J7" s="12"/>
      <c r="K7" s="12"/>
      <c r="L7" s="12"/>
      <c r="M7" s="12"/>
      <c r="N7" s="12"/>
      <c r="O7" s="12"/>
      <c r="P7" s="12"/>
      <c r="Q7" s="12"/>
      <c r="R7" s="12"/>
      <c r="S7" s="12"/>
      <c r="T7" s="12"/>
      <c r="U7" s="12"/>
      <c r="V7" s="12"/>
      <c r="W7" s="12"/>
      <c r="X7" s="12"/>
      <c r="Y7" s="12"/>
      <c r="Z7" s="12"/>
      <c r="AA7" s="12"/>
      <c r="AB7" s="12"/>
      <c r="AC7" s="12">
        <f t="shared" si="0"/>
        <v>0</v>
      </c>
      <c r="AD7" s="29"/>
      <c r="AE7" s="29"/>
      <c r="AF7" s="29"/>
      <c r="AG7" s="29"/>
      <c r="AH7" s="29"/>
      <c r="AI7" s="29"/>
    </row>
    <row r="8" spans="1:35" ht="13.7" customHeight="1" x14ac:dyDescent="0.2">
      <c r="A8" s="9" t="s">
        <v>11</v>
      </c>
      <c r="B8" s="10" t="s">
        <v>13</v>
      </c>
      <c r="C8" s="11"/>
      <c r="D8" s="12"/>
      <c r="E8" s="12"/>
      <c r="F8" s="12"/>
      <c r="G8" s="12"/>
      <c r="H8" s="12"/>
      <c r="I8" s="12"/>
      <c r="J8" s="12"/>
      <c r="K8" s="12"/>
      <c r="L8" s="12"/>
      <c r="M8" s="12"/>
      <c r="N8" s="12"/>
      <c r="O8" s="12"/>
      <c r="P8" s="12"/>
      <c r="Q8" s="12"/>
      <c r="R8" s="12"/>
      <c r="S8" s="12"/>
      <c r="T8" s="12"/>
      <c r="U8" s="12"/>
      <c r="V8" s="12"/>
      <c r="W8" s="12"/>
      <c r="X8" s="12"/>
      <c r="Y8" s="12"/>
      <c r="Z8" s="12"/>
      <c r="AA8" s="12"/>
      <c r="AB8" s="12"/>
      <c r="AC8" s="12">
        <f t="shared" si="0"/>
        <v>0</v>
      </c>
      <c r="AD8" s="29"/>
      <c r="AE8" s="29"/>
      <c r="AF8" s="29"/>
      <c r="AG8" s="29"/>
      <c r="AH8" s="29"/>
      <c r="AI8" s="29"/>
    </row>
    <row r="9" spans="1:35" ht="13.7" customHeight="1" x14ac:dyDescent="0.2">
      <c r="A9" s="9" t="s">
        <v>11</v>
      </c>
      <c r="B9" s="10" t="s">
        <v>14</v>
      </c>
      <c r="C9" s="14"/>
      <c r="D9" s="12"/>
      <c r="E9" s="12"/>
      <c r="F9" s="10"/>
      <c r="G9" s="10"/>
      <c r="H9" s="10"/>
      <c r="I9" s="10"/>
      <c r="J9" s="10"/>
      <c r="K9" s="10"/>
      <c r="L9" s="10"/>
      <c r="M9" s="10"/>
      <c r="N9" s="10"/>
      <c r="O9" s="10"/>
      <c r="P9" s="10"/>
      <c r="Q9" s="10"/>
      <c r="R9" s="10"/>
      <c r="S9" s="10"/>
      <c r="T9" s="10"/>
      <c r="U9" s="10"/>
      <c r="V9" s="10"/>
      <c r="W9" s="10"/>
      <c r="X9" s="10"/>
      <c r="Y9" s="10"/>
      <c r="Z9" s="10"/>
      <c r="AA9" s="10"/>
      <c r="AB9" s="10"/>
      <c r="AC9" s="12">
        <f t="shared" si="0"/>
        <v>0</v>
      </c>
      <c r="AD9" s="29"/>
      <c r="AE9" s="29"/>
      <c r="AF9" s="29"/>
      <c r="AG9" s="29"/>
      <c r="AH9" s="29"/>
      <c r="AI9" s="29"/>
    </row>
    <row r="10" spans="1:35" ht="13.7" customHeight="1" x14ac:dyDescent="0.2">
      <c r="A10" s="9" t="s">
        <v>15</v>
      </c>
      <c r="B10" s="10" t="s">
        <v>16</v>
      </c>
      <c r="C10" s="11"/>
      <c r="D10" s="12"/>
      <c r="E10" s="12"/>
      <c r="F10" s="12"/>
      <c r="G10" s="12"/>
      <c r="H10" s="12"/>
      <c r="I10" s="12"/>
      <c r="J10" s="12"/>
      <c r="K10" s="12"/>
      <c r="L10" s="12"/>
      <c r="M10" s="12"/>
      <c r="N10" s="12"/>
      <c r="O10" s="12"/>
      <c r="P10" s="12"/>
      <c r="Q10" s="12"/>
      <c r="R10" s="12"/>
      <c r="S10" s="12"/>
      <c r="T10" s="12"/>
      <c r="U10" s="12"/>
      <c r="V10" s="12"/>
      <c r="W10" s="12"/>
      <c r="X10" s="12"/>
      <c r="Y10" s="12"/>
      <c r="Z10" s="12"/>
      <c r="AA10" s="12"/>
      <c r="AB10" s="12"/>
      <c r="AC10" s="12">
        <f t="shared" si="0"/>
        <v>0</v>
      </c>
      <c r="AD10" s="29"/>
      <c r="AE10" s="29"/>
      <c r="AF10" s="29"/>
      <c r="AG10" s="29"/>
      <c r="AH10" s="29"/>
      <c r="AI10" s="29"/>
    </row>
    <row r="11" spans="1:35" ht="22.5" customHeight="1" x14ac:dyDescent="0.2">
      <c r="A11" s="9" t="s">
        <v>15</v>
      </c>
      <c r="B11" s="10" t="s">
        <v>17</v>
      </c>
      <c r="C11" s="14"/>
      <c r="D11" s="12"/>
      <c r="E11" s="12"/>
      <c r="F11" s="10"/>
      <c r="G11" s="10"/>
      <c r="H11" s="10"/>
      <c r="I11" s="10"/>
      <c r="J11" s="10"/>
      <c r="K11" s="10"/>
      <c r="L11" s="10"/>
      <c r="M11" s="10"/>
      <c r="N11" s="10"/>
      <c r="O11" s="10"/>
      <c r="P11" s="10"/>
      <c r="Q11" s="10"/>
      <c r="R11" s="10"/>
      <c r="S11" s="10"/>
      <c r="T11" s="10"/>
      <c r="U11" s="10"/>
      <c r="V11" s="10"/>
      <c r="W11" s="10"/>
      <c r="X11" s="10"/>
      <c r="Y11" s="10"/>
      <c r="Z11" s="10"/>
      <c r="AA11" s="10"/>
      <c r="AB11" s="10"/>
      <c r="AC11" s="12">
        <f t="shared" si="0"/>
        <v>0</v>
      </c>
      <c r="AD11" s="29"/>
      <c r="AE11" s="29"/>
      <c r="AF11" s="29"/>
      <c r="AG11" s="29"/>
      <c r="AH11" s="29"/>
      <c r="AI11" s="29"/>
    </row>
    <row r="12" spans="1:35" ht="13.7" customHeight="1" x14ac:dyDescent="0.2">
      <c r="A12" s="9" t="s">
        <v>18</v>
      </c>
      <c r="B12" s="10" t="s">
        <v>12</v>
      </c>
      <c r="C12" s="11"/>
      <c r="D12" s="12"/>
      <c r="E12" s="12"/>
      <c r="F12" s="12"/>
      <c r="G12" s="12"/>
      <c r="H12" s="12"/>
      <c r="I12" s="12"/>
      <c r="J12" s="12"/>
      <c r="K12" s="12"/>
      <c r="L12" s="12"/>
      <c r="M12" s="12"/>
      <c r="N12" s="12"/>
      <c r="O12" s="12"/>
      <c r="P12" s="12"/>
      <c r="Q12" s="12"/>
      <c r="R12" s="12"/>
      <c r="S12" s="12"/>
      <c r="T12" s="12"/>
      <c r="U12" s="12"/>
      <c r="V12" s="12"/>
      <c r="W12" s="12"/>
      <c r="X12" s="12"/>
      <c r="Y12" s="12"/>
      <c r="Z12" s="12"/>
      <c r="AA12" s="12"/>
      <c r="AB12" s="12"/>
      <c r="AC12" s="12">
        <f t="shared" si="0"/>
        <v>0</v>
      </c>
      <c r="AD12" s="29"/>
      <c r="AE12" s="29"/>
      <c r="AF12" s="29"/>
      <c r="AG12" s="29"/>
      <c r="AH12" s="29"/>
      <c r="AI12" s="29"/>
    </row>
    <row r="13" spans="1:35" ht="13.7" customHeight="1" x14ac:dyDescent="0.2">
      <c r="A13" s="9" t="s">
        <v>18</v>
      </c>
      <c r="B13" s="10" t="s">
        <v>19</v>
      </c>
      <c r="C13" s="14"/>
      <c r="D13" s="12"/>
      <c r="E13" s="12"/>
      <c r="F13" s="10"/>
      <c r="G13" s="10"/>
      <c r="H13" s="10"/>
      <c r="I13" s="10"/>
      <c r="J13" s="10"/>
      <c r="K13" s="10"/>
      <c r="L13" s="10"/>
      <c r="M13" s="10"/>
      <c r="N13" s="10"/>
      <c r="O13" s="10"/>
      <c r="P13" s="10"/>
      <c r="Q13" s="10"/>
      <c r="R13" s="10"/>
      <c r="S13" s="10"/>
      <c r="T13" s="10"/>
      <c r="U13" s="10"/>
      <c r="V13" s="10"/>
      <c r="W13" s="10"/>
      <c r="X13" s="10"/>
      <c r="Y13" s="10"/>
      <c r="Z13" s="10"/>
      <c r="AA13" s="10"/>
      <c r="AB13" s="10"/>
      <c r="AC13" s="12">
        <f t="shared" si="0"/>
        <v>0</v>
      </c>
      <c r="AD13" s="29"/>
      <c r="AE13" s="29"/>
      <c r="AF13" s="29"/>
      <c r="AG13" s="29"/>
      <c r="AH13" s="29"/>
      <c r="AI13" s="29"/>
    </row>
    <row r="14" spans="1:35" ht="13.7" customHeight="1" x14ac:dyDescent="0.2">
      <c r="A14" s="9" t="s">
        <v>20</v>
      </c>
      <c r="B14" s="10" t="s">
        <v>21</v>
      </c>
      <c r="C14" s="11"/>
      <c r="D14" s="12"/>
      <c r="E14" s="12"/>
      <c r="F14" s="12"/>
      <c r="G14" s="12"/>
      <c r="H14" s="12"/>
      <c r="I14" s="12"/>
      <c r="J14" s="12"/>
      <c r="K14" s="12"/>
      <c r="L14" s="12"/>
      <c r="M14" s="12"/>
      <c r="N14" s="12"/>
      <c r="O14" s="12"/>
      <c r="P14" s="12"/>
      <c r="Q14" s="12"/>
      <c r="R14" s="12"/>
      <c r="S14" s="12"/>
      <c r="T14" s="12"/>
      <c r="U14" s="12"/>
      <c r="V14" s="12"/>
      <c r="W14" s="12"/>
      <c r="X14" s="12"/>
      <c r="Y14" s="12"/>
      <c r="Z14" s="12"/>
      <c r="AA14" s="12"/>
      <c r="AB14" s="12"/>
      <c r="AC14" s="12">
        <f t="shared" si="0"/>
        <v>0</v>
      </c>
      <c r="AD14" s="29"/>
      <c r="AE14" s="29"/>
      <c r="AF14" s="29"/>
      <c r="AG14" s="29"/>
      <c r="AH14" s="29"/>
      <c r="AI14" s="29"/>
    </row>
    <row r="15" spans="1:35" ht="13.7" customHeight="1" x14ac:dyDescent="0.2">
      <c r="A15" s="9" t="s">
        <v>22</v>
      </c>
      <c r="B15" s="10" t="s">
        <v>10</v>
      </c>
      <c r="C15" s="11"/>
      <c r="D15" s="12"/>
      <c r="E15" s="12"/>
      <c r="F15" s="12"/>
      <c r="G15" s="12"/>
      <c r="H15" s="12"/>
      <c r="I15" s="12"/>
      <c r="J15" s="12"/>
      <c r="K15" s="12"/>
      <c r="L15" s="12"/>
      <c r="M15" s="12"/>
      <c r="N15" s="12"/>
      <c r="O15" s="12"/>
      <c r="P15" s="12"/>
      <c r="Q15" s="12"/>
      <c r="R15" s="12"/>
      <c r="S15" s="12"/>
      <c r="T15" s="12"/>
      <c r="U15" s="12"/>
      <c r="V15" s="12"/>
      <c r="W15" s="12"/>
      <c r="X15" s="12"/>
      <c r="Y15" s="12"/>
      <c r="Z15" s="12"/>
      <c r="AA15" s="12"/>
      <c r="AB15" s="12"/>
      <c r="AC15" s="12">
        <f t="shared" si="0"/>
        <v>0</v>
      </c>
      <c r="AD15" s="29"/>
      <c r="AE15" s="29"/>
      <c r="AF15" s="29"/>
      <c r="AG15" s="29"/>
      <c r="AH15" s="29"/>
      <c r="AI15" s="29"/>
    </row>
    <row r="16" spans="1:35" ht="13.7" customHeight="1" x14ac:dyDescent="0.2">
      <c r="A16" s="9" t="s">
        <v>22</v>
      </c>
      <c r="B16" s="10" t="s">
        <v>12</v>
      </c>
      <c r="C16" s="11"/>
      <c r="D16" s="12"/>
      <c r="E16" s="12"/>
      <c r="F16" s="12"/>
      <c r="G16" s="12"/>
      <c r="H16" s="12"/>
      <c r="I16" s="12"/>
      <c r="J16" s="12"/>
      <c r="K16" s="12"/>
      <c r="L16" s="12"/>
      <c r="M16" s="12"/>
      <c r="N16" s="12"/>
      <c r="O16" s="12"/>
      <c r="P16" s="12"/>
      <c r="Q16" s="12"/>
      <c r="R16" s="12"/>
      <c r="S16" s="12"/>
      <c r="T16" s="12"/>
      <c r="U16" s="12"/>
      <c r="V16" s="12"/>
      <c r="W16" s="12"/>
      <c r="X16" s="12"/>
      <c r="Y16" s="12"/>
      <c r="Z16" s="12"/>
      <c r="AA16" s="12"/>
      <c r="AB16" s="12"/>
      <c r="AC16" s="12">
        <f t="shared" si="0"/>
        <v>0</v>
      </c>
      <c r="AD16" s="29"/>
      <c r="AE16" s="29"/>
      <c r="AF16" s="29"/>
      <c r="AG16" s="29"/>
      <c r="AH16" s="29"/>
      <c r="AI16" s="29"/>
    </row>
    <row r="17" spans="1:35" ht="13.7" customHeight="1" x14ac:dyDescent="0.2">
      <c r="A17" s="9" t="s">
        <v>22</v>
      </c>
      <c r="B17" s="10" t="s">
        <v>21</v>
      </c>
      <c r="C17" s="11"/>
      <c r="D17" s="12"/>
      <c r="E17" s="12"/>
      <c r="F17" s="12"/>
      <c r="G17" s="12"/>
      <c r="H17" s="12"/>
      <c r="I17" s="12"/>
      <c r="J17" s="12"/>
      <c r="K17" s="12"/>
      <c r="L17" s="12"/>
      <c r="M17" s="12"/>
      <c r="N17" s="12"/>
      <c r="O17" s="12"/>
      <c r="P17" s="12"/>
      <c r="Q17" s="12"/>
      <c r="R17" s="12"/>
      <c r="S17" s="12"/>
      <c r="T17" s="12"/>
      <c r="U17" s="12"/>
      <c r="V17" s="12"/>
      <c r="W17" s="12"/>
      <c r="X17" s="12"/>
      <c r="Y17" s="12"/>
      <c r="Z17" s="12"/>
      <c r="AA17" s="12"/>
      <c r="AB17" s="12"/>
      <c r="AC17" s="12">
        <f t="shared" si="0"/>
        <v>0</v>
      </c>
      <c r="AD17" s="29"/>
      <c r="AE17" s="29"/>
      <c r="AF17" s="29"/>
      <c r="AG17" s="29"/>
      <c r="AH17" s="29"/>
      <c r="AI17" s="29"/>
    </row>
    <row r="18" spans="1:35" ht="13.7" customHeight="1" x14ac:dyDescent="0.2">
      <c r="A18" s="9" t="s">
        <v>23</v>
      </c>
      <c r="B18" s="10" t="s">
        <v>24</v>
      </c>
      <c r="C18" s="11"/>
      <c r="D18" s="12"/>
      <c r="E18" s="12"/>
      <c r="F18" s="12"/>
      <c r="G18" s="12"/>
      <c r="H18" s="12"/>
      <c r="I18" s="12"/>
      <c r="J18" s="12"/>
      <c r="K18" s="12"/>
      <c r="L18" s="12"/>
      <c r="M18" s="12"/>
      <c r="N18" s="12"/>
      <c r="O18" s="12"/>
      <c r="P18" s="12"/>
      <c r="Q18" s="12"/>
      <c r="R18" s="12"/>
      <c r="S18" s="12"/>
      <c r="T18" s="12"/>
      <c r="U18" s="12"/>
      <c r="V18" s="12"/>
      <c r="W18" s="12"/>
      <c r="X18" s="12"/>
      <c r="Y18" s="12"/>
      <c r="Z18" s="12"/>
      <c r="AA18" s="12"/>
      <c r="AB18" s="12"/>
      <c r="AC18" s="12">
        <f t="shared" si="0"/>
        <v>0</v>
      </c>
      <c r="AD18" s="29"/>
      <c r="AE18" s="29"/>
      <c r="AF18" s="29"/>
      <c r="AG18" s="29"/>
      <c r="AH18" s="29"/>
      <c r="AI18" s="29"/>
    </row>
    <row r="19" spans="1:35" ht="13.7" customHeight="1" x14ac:dyDescent="0.2">
      <c r="A19" s="9" t="s">
        <v>25</v>
      </c>
      <c r="B19" s="10" t="s">
        <v>21</v>
      </c>
      <c r="C19" s="11"/>
      <c r="D19" s="12"/>
      <c r="E19" s="12"/>
      <c r="F19" s="12"/>
      <c r="G19" s="12"/>
      <c r="H19" s="12"/>
      <c r="I19" s="12"/>
      <c r="J19" s="12"/>
      <c r="K19" s="12"/>
      <c r="L19" s="12"/>
      <c r="M19" s="12"/>
      <c r="N19" s="12"/>
      <c r="O19" s="12"/>
      <c r="P19" s="12"/>
      <c r="Q19" s="12"/>
      <c r="R19" s="12"/>
      <c r="S19" s="12"/>
      <c r="T19" s="12"/>
      <c r="U19" s="12"/>
      <c r="V19" s="12"/>
      <c r="W19" s="12"/>
      <c r="X19" s="12"/>
      <c r="Y19" s="12"/>
      <c r="Z19" s="12"/>
      <c r="AA19" s="12"/>
      <c r="AB19" s="12"/>
      <c r="AC19" s="12">
        <f t="shared" si="0"/>
        <v>0</v>
      </c>
      <c r="AD19" s="29"/>
      <c r="AE19" s="29"/>
      <c r="AF19" s="29"/>
      <c r="AG19" s="29"/>
      <c r="AH19" s="29"/>
      <c r="AI19" s="29"/>
    </row>
    <row r="20" spans="1:35" ht="13.7" customHeight="1" x14ac:dyDescent="0.2">
      <c r="A20" s="9" t="s">
        <v>26</v>
      </c>
      <c r="B20" s="10" t="s">
        <v>12</v>
      </c>
      <c r="C20" s="14"/>
      <c r="D20" s="12"/>
      <c r="E20" s="12"/>
      <c r="F20" s="10"/>
      <c r="G20" s="10"/>
      <c r="H20" s="10"/>
      <c r="I20" s="10"/>
      <c r="J20" s="10"/>
      <c r="K20" s="10"/>
      <c r="L20" s="10"/>
      <c r="M20" s="10"/>
      <c r="N20" s="10"/>
      <c r="O20" s="10"/>
      <c r="P20" s="10"/>
      <c r="Q20" s="10"/>
      <c r="R20" s="10"/>
      <c r="S20" s="10"/>
      <c r="T20" s="10"/>
      <c r="U20" s="10"/>
      <c r="V20" s="10"/>
      <c r="W20" s="10"/>
      <c r="X20" s="10"/>
      <c r="Y20" s="10"/>
      <c r="Z20" s="10"/>
      <c r="AA20" s="10"/>
      <c r="AB20" s="10"/>
      <c r="AC20" s="12">
        <f t="shared" si="0"/>
        <v>0</v>
      </c>
      <c r="AD20" s="29"/>
      <c r="AE20" s="29"/>
      <c r="AF20" s="29"/>
      <c r="AG20" s="29"/>
      <c r="AH20" s="29"/>
      <c r="AI20" s="29"/>
    </row>
    <row r="21" spans="1:35" ht="13.7" customHeight="1" x14ac:dyDescent="0.2">
      <c r="A21" s="9" t="s">
        <v>27</v>
      </c>
      <c r="B21" s="10" t="s">
        <v>10</v>
      </c>
      <c r="C21" s="14"/>
      <c r="D21" s="12"/>
      <c r="E21" s="12"/>
      <c r="F21" s="10"/>
      <c r="G21" s="10"/>
      <c r="H21" s="10"/>
      <c r="I21" s="10"/>
      <c r="J21" s="10"/>
      <c r="K21" s="10"/>
      <c r="L21" s="10"/>
      <c r="M21" s="10"/>
      <c r="N21" s="10"/>
      <c r="O21" s="10">
        <v>2</v>
      </c>
      <c r="P21" s="10"/>
      <c r="Q21" s="10"/>
      <c r="R21" s="10"/>
      <c r="S21" s="10"/>
      <c r="T21" s="10"/>
      <c r="U21" s="10"/>
      <c r="V21" s="10"/>
      <c r="W21" s="10"/>
      <c r="X21" s="10"/>
      <c r="Y21" s="10"/>
      <c r="Z21" s="10"/>
      <c r="AA21" s="10"/>
      <c r="AB21" s="10"/>
      <c r="AC21" s="12">
        <f t="shared" si="0"/>
        <v>2</v>
      </c>
      <c r="AD21" s="29"/>
      <c r="AE21" s="29"/>
      <c r="AF21" s="29"/>
      <c r="AG21" s="29"/>
      <c r="AH21" s="29"/>
      <c r="AI21" s="29"/>
    </row>
    <row r="22" spans="1:35" ht="13.7" customHeight="1" x14ac:dyDescent="0.2">
      <c r="A22" s="9" t="s">
        <v>27</v>
      </c>
      <c r="B22" s="10" t="s">
        <v>12</v>
      </c>
      <c r="C22" s="11"/>
      <c r="D22" s="12"/>
      <c r="E22" s="12"/>
      <c r="F22" s="12"/>
      <c r="G22" s="12"/>
      <c r="H22" s="12"/>
      <c r="I22" s="12"/>
      <c r="J22" s="12"/>
      <c r="K22" s="12"/>
      <c r="L22" s="12"/>
      <c r="M22" s="12"/>
      <c r="N22" s="12"/>
      <c r="O22" s="12"/>
      <c r="P22" s="12"/>
      <c r="Q22" s="12"/>
      <c r="R22" s="12"/>
      <c r="S22" s="12"/>
      <c r="T22" s="12"/>
      <c r="U22" s="12"/>
      <c r="V22" s="12"/>
      <c r="W22" s="12"/>
      <c r="X22" s="12"/>
      <c r="Y22" s="12"/>
      <c r="Z22" s="12"/>
      <c r="AA22" s="12"/>
      <c r="AB22" s="12"/>
      <c r="AC22" s="12">
        <f t="shared" si="0"/>
        <v>0</v>
      </c>
      <c r="AD22" s="29"/>
      <c r="AE22" s="29"/>
      <c r="AF22" s="29"/>
      <c r="AG22" s="29"/>
      <c r="AH22" s="29"/>
      <c r="AI22" s="29"/>
    </row>
    <row r="23" spans="1:35" ht="13.7" customHeight="1" x14ac:dyDescent="0.2">
      <c r="A23" s="9" t="s">
        <v>27</v>
      </c>
      <c r="B23" s="10" t="s">
        <v>28</v>
      </c>
      <c r="C23" s="11"/>
      <c r="D23" s="12"/>
      <c r="E23" s="12"/>
      <c r="F23" s="12"/>
      <c r="G23" s="12"/>
      <c r="H23" s="12"/>
      <c r="I23" s="12"/>
      <c r="J23" s="12"/>
      <c r="K23" s="12"/>
      <c r="L23" s="12"/>
      <c r="M23" s="12"/>
      <c r="N23" s="12"/>
      <c r="O23" s="12"/>
      <c r="P23" s="12"/>
      <c r="Q23" s="12"/>
      <c r="R23" s="12"/>
      <c r="S23" s="12"/>
      <c r="T23" s="12"/>
      <c r="U23" s="12"/>
      <c r="V23" s="12"/>
      <c r="W23" s="12"/>
      <c r="X23" s="12"/>
      <c r="Y23" s="12"/>
      <c r="Z23" s="12"/>
      <c r="AA23" s="12"/>
      <c r="AB23" s="12"/>
      <c r="AC23" s="12">
        <f t="shared" si="0"/>
        <v>0</v>
      </c>
      <c r="AD23" s="29"/>
      <c r="AE23" s="29"/>
      <c r="AF23" s="29"/>
      <c r="AG23" s="29"/>
      <c r="AH23" s="29"/>
      <c r="AI23" s="29"/>
    </row>
    <row r="24" spans="1:35" ht="15.95" customHeight="1" x14ac:dyDescent="0.2">
      <c r="A24" s="9" t="s">
        <v>27</v>
      </c>
      <c r="B24" s="10" t="s">
        <v>14</v>
      </c>
      <c r="C24" s="11"/>
      <c r="D24" s="12"/>
      <c r="E24" s="12"/>
      <c r="F24" s="12"/>
      <c r="G24" s="12"/>
      <c r="H24" s="12"/>
      <c r="I24" s="12"/>
      <c r="J24" s="12"/>
      <c r="K24" s="12"/>
      <c r="L24" s="12"/>
      <c r="M24" s="12"/>
      <c r="N24" s="12"/>
      <c r="O24" s="12" t="s">
        <v>73</v>
      </c>
      <c r="P24" s="12"/>
      <c r="Q24" s="12"/>
      <c r="R24" s="12"/>
      <c r="S24" s="12"/>
      <c r="T24" s="12"/>
      <c r="U24" s="12"/>
      <c r="V24" s="12"/>
      <c r="W24" s="12"/>
      <c r="X24" s="12"/>
      <c r="Y24" s="12"/>
      <c r="Z24" s="12"/>
      <c r="AA24" s="12"/>
      <c r="AB24" s="12"/>
      <c r="AC24" s="12">
        <f t="shared" si="0"/>
        <v>0</v>
      </c>
      <c r="AD24" s="29"/>
      <c r="AE24" s="29"/>
      <c r="AF24" s="29"/>
      <c r="AG24" s="29"/>
      <c r="AH24" s="29"/>
      <c r="AI24" s="29"/>
    </row>
    <row r="25" spans="1:35" ht="13.7" customHeight="1" x14ac:dyDescent="0.2">
      <c r="A25" s="9" t="s">
        <v>29</v>
      </c>
      <c r="B25" s="10" t="s">
        <v>12</v>
      </c>
      <c r="C25" s="11"/>
      <c r="D25" s="12"/>
      <c r="E25" s="12"/>
      <c r="F25" s="12"/>
      <c r="G25" s="12"/>
      <c r="H25" s="12"/>
      <c r="I25" s="12"/>
      <c r="J25" s="12"/>
      <c r="K25" s="12"/>
      <c r="L25" s="12"/>
      <c r="M25" s="12"/>
      <c r="N25" s="12"/>
      <c r="O25" s="12"/>
      <c r="P25" s="12"/>
      <c r="Q25" s="12"/>
      <c r="R25" s="12"/>
      <c r="S25" s="12"/>
      <c r="T25" s="12"/>
      <c r="U25" s="12"/>
      <c r="V25" s="12"/>
      <c r="W25" s="12"/>
      <c r="X25" s="12"/>
      <c r="Y25" s="12"/>
      <c r="Z25" s="12"/>
      <c r="AA25" s="12"/>
      <c r="AB25" s="12"/>
      <c r="AC25" s="12">
        <f t="shared" si="0"/>
        <v>0</v>
      </c>
      <c r="AD25" s="29"/>
      <c r="AE25" s="29"/>
      <c r="AF25" s="29"/>
      <c r="AG25" s="29"/>
      <c r="AH25" s="29"/>
      <c r="AI25" s="29"/>
    </row>
    <row r="26" spans="1:35" ht="13.7" customHeight="1" x14ac:dyDescent="0.2">
      <c r="A26" s="9" t="s">
        <v>30</v>
      </c>
      <c r="B26" s="10" t="s">
        <v>31</v>
      </c>
      <c r="C26" s="11"/>
      <c r="D26" s="12"/>
      <c r="E26" s="12"/>
      <c r="F26" s="12"/>
      <c r="G26" s="12"/>
      <c r="H26" s="12"/>
      <c r="I26" s="12"/>
      <c r="J26" s="12"/>
      <c r="K26" s="12"/>
      <c r="L26" s="12"/>
      <c r="M26" s="12"/>
      <c r="N26" s="12"/>
      <c r="O26" s="12">
        <v>1</v>
      </c>
      <c r="P26" s="12"/>
      <c r="Q26" s="12"/>
      <c r="R26" s="12"/>
      <c r="S26" s="12"/>
      <c r="T26" s="12"/>
      <c r="U26" s="12"/>
      <c r="V26" s="12"/>
      <c r="W26" s="12"/>
      <c r="X26" s="12"/>
      <c r="Y26" s="12"/>
      <c r="Z26" s="12"/>
      <c r="AA26" s="12"/>
      <c r="AB26" s="12"/>
      <c r="AC26" s="12">
        <f t="shared" si="0"/>
        <v>1</v>
      </c>
      <c r="AD26" s="29"/>
      <c r="AE26" s="29"/>
      <c r="AF26" s="29"/>
      <c r="AG26" s="29"/>
      <c r="AH26" s="29"/>
      <c r="AI26" s="29"/>
    </row>
    <row r="27" spans="1:35" ht="13.7" customHeight="1" x14ac:dyDescent="0.2">
      <c r="A27" s="9" t="s">
        <v>32</v>
      </c>
      <c r="B27" s="10" t="s">
        <v>31</v>
      </c>
      <c r="C27" s="11">
        <v>1</v>
      </c>
      <c r="D27" s="12"/>
      <c r="E27" s="12"/>
      <c r="F27" s="12"/>
      <c r="G27" s="12"/>
      <c r="H27" s="12"/>
      <c r="I27" s="12"/>
      <c r="J27" s="12"/>
      <c r="K27" s="12"/>
      <c r="L27" s="12"/>
      <c r="M27" s="12"/>
      <c r="N27" s="12"/>
      <c r="O27" s="12">
        <v>1</v>
      </c>
      <c r="P27" s="12"/>
      <c r="Q27" s="12"/>
      <c r="R27" s="12"/>
      <c r="S27" s="12"/>
      <c r="T27" s="12"/>
      <c r="U27" s="12"/>
      <c r="V27" s="12"/>
      <c r="W27" s="12"/>
      <c r="X27" s="12"/>
      <c r="Y27" s="12"/>
      <c r="Z27" s="12"/>
      <c r="AA27" s="12"/>
      <c r="AB27" s="12"/>
      <c r="AC27" s="12">
        <f t="shared" si="0"/>
        <v>2</v>
      </c>
      <c r="AD27" s="29"/>
      <c r="AE27" s="29"/>
      <c r="AF27" s="29"/>
      <c r="AG27" s="29"/>
      <c r="AH27" s="29"/>
      <c r="AI27" s="29"/>
    </row>
    <row r="28" spans="1:35" ht="13.7" customHeight="1" x14ac:dyDescent="0.2">
      <c r="A28" s="9" t="s">
        <v>33</v>
      </c>
      <c r="B28" s="10" t="s">
        <v>31</v>
      </c>
      <c r="C28" s="11"/>
      <c r="D28" s="12"/>
      <c r="E28" s="12"/>
      <c r="F28" s="12"/>
      <c r="G28" s="12"/>
      <c r="H28" s="12"/>
      <c r="I28" s="12"/>
      <c r="J28" s="12"/>
      <c r="K28" s="12"/>
      <c r="L28" s="12"/>
      <c r="M28" s="12"/>
      <c r="N28" s="12"/>
      <c r="O28" s="12"/>
      <c r="P28" s="12"/>
      <c r="Q28" s="12"/>
      <c r="R28" s="12"/>
      <c r="S28" s="12"/>
      <c r="T28" s="12"/>
      <c r="U28" s="12"/>
      <c r="V28" s="12"/>
      <c r="W28" s="12"/>
      <c r="X28" s="12"/>
      <c r="Y28" s="12"/>
      <c r="Z28" s="12"/>
      <c r="AA28" s="12"/>
      <c r="AB28" s="12"/>
      <c r="AC28" s="12">
        <f t="shared" si="0"/>
        <v>0</v>
      </c>
      <c r="AD28" s="29"/>
      <c r="AE28" s="29"/>
      <c r="AF28" s="29"/>
      <c r="AG28" s="29"/>
      <c r="AH28" s="29"/>
      <c r="AI28" s="29"/>
    </row>
    <row r="29" spans="1:35" ht="13.7" customHeight="1" x14ac:dyDescent="0.2">
      <c r="A29" s="9" t="s">
        <v>34</v>
      </c>
      <c r="B29" s="10" t="s">
        <v>31</v>
      </c>
      <c r="C29" s="11"/>
      <c r="D29" s="12"/>
      <c r="E29" s="12"/>
      <c r="F29" s="12"/>
      <c r="G29" s="12"/>
      <c r="H29" s="12"/>
      <c r="I29" s="12"/>
      <c r="J29" s="12"/>
      <c r="K29" s="12"/>
      <c r="L29" s="12"/>
      <c r="M29" s="12"/>
      <c r="N29" s="12"/>
      <c r="O29" s="12"/>
      <c r="P29" s="12"/>
      <c r="Q29" s="12"/>
      <c r="R29" s="12"/>
      <c r="S29" s="12"/>
      <c r="T29" s="12"/>
      <c r="U29" s="12"/>
      <c r="V29" s="12"/>
      <c r="W29" s="12"/>
      <c r="X29" s="12"/>
      <c r="Y29" s="12"/>
      <c r="Z29" s="12"/>
      <c r="AA29" s="12"/>
      <c r="AB29" s="12"/>
      <c r="AC29" s="12">
        <f t="shared" si="0"/>
        <v>0</v>
      </c>
      <c r="AD29" s="29"/>
      <c r="AE29" s="29"/>
      <c r="AF29" s="29"/>
      <c r="AG29" s="29"/>
      <c r="AH29" s="29"/>
      <c r="AI29" s="29"/>
    </row>
    <row r="30" spans="1:35" ht="13.7" customHeight="1" x14ac:dyDescent="0.2">
      <c r="A30" s="9" t="s">
        <v>35</v>
      </c>
      <c r="B30" s="10" t="s">
        <v>31</v>
      </c>
      <c r="C30" s="11"/>
      <c r="D30" s="12"/>
      <c r="E30" s="12"/>
      <c r="F30" s="12"/>
      <c r="G30" s="12"/>
      <c r="H30" s="12"/>
      <c r="I30" s="12"/>
      <c r="J30" s="12"/>
      <c r="K30" s="12"/>
      <c r="L30" s="12"/>
      <c r="M30" s="12"/>
      <c r="N30" s="12"/>
      <c r="O30" s="12"/>
      <c r="P30" s="12"/>
      <c r="Q30" s="12"/>
      <c r="R30" s="12"/>
      <c r="S30" s="12"/>
      <c r="T30" s="12"/>
      <c r="U30" s="12"/>
      <c r="V30" s="12"/>
      <c r="W30" s="12"/>
      <c r="X30" s="12"/>
      <c r="Y30" s="12"/>
      <c r="Z30" s="12"/>
      <c r="AA30" s="12"/>
      <c r="AB30" s="12"/>
      <c r="AC30" s="12">
        <f t="shared" si="0"/>
        <v>0</v>
      </c>
      <c r="AD30" s="29"/>
      <c r="AE30" s="29"/>
      <c r="AF30" s="29"/>
      <c r="AG30" s="29"/>
      <c r="AH30" s="29"/>
      <c r="AI30" s="29"/>
    </row>
    <row r="31" spans="1:35" ht="13.7" customHeight="1" x14ac:dyDescent="0.2">
      <c r="A31" s="9" t="s">
        <v>36</v>
      </c>
      <c r="B31" s="10" t="s">
        <v>37</v>
      </c>
      <c r="C31" s="11"/>
      <c r="D31" s="12"/>
      <c r="E31" s="12"/>
      <c r="F31" s="12"/>
      <c r="G31" s="12"/>
      <c r="H31" s="12"/>
      <c r="I31" s="12"/>
      <c r="J31" s="12"/>
      <c r="K31" s="12"/>
      <c r="L31" s="12"/>
      <c r="M31" s="12"/>
      <c r="N31" s="12"/>
      <c r="O31" s="12"/>
      <c r="P31" s="12"/>
      <c r="Q31" s="12"/>
      <c r="R31" s="12"/>
      <c r="S31" s="12"/>
      <c r="T31" s="12"/>
      <c r="U31" s="12"/>
      <c r="V31" s="12"/>
      <c r="W31" s="12"/>
      <c r="X31" s="12"/>
      <c r="Y31" s="12"/>
      <c r="Z31" s="12"/>
      <c r="AA31" s="12"/>
      <c r="AB31" s="12"/>
      <c r="AC31" s="12">
        <f t="shared" si="0"/>
        <v>0</v>
      </c>
      <c r="AD31" s="29"/>
      <c r="AE31" s="29"/>
      <c r="AF31" s="29"/>
      <c r="AG31" s="29"/>
      <c r="AH31" s="29"/>
      <c r="AI31" s="29"/>
    </row>
    <row r="32" spans="1:35" ht="13.7" customHeight="1" x14ac:dyDescent="0.2">
      <c r="A32" s="9" t="s">
        <v>38</v>
      </c>
      <c r="B32" s="10" t="s">
        <v>37</v>
      </c>
      <c r="C32" s="11">
        <v>1</v>
      </c>
      <c r="D32" s="12"/>
      <c r="E32" s="12"/>
      <c r="F32" s="12"/>
      <c r="G32" s="12"/>
      <c r="H32" s="12"/>
      <c r="I32" s="12"/>
      <c r="J32" s="12"/>
      <c r="K32" s="12"/>
      <c r="L32" s="12"/>
      <c r="M32" s="12"/>
      <c r="N32" s="12"/>
      <c r="O32" s="12">
        <v>2</v>
      </c>
      <c r="P32" s="12"/>
      <c r="Q32" s="12"/>
      <c r="R32" s="12"/>
      <c r="S32" s="12"/>
      <c r="T32" s="12"/>
      <c r="U32" s="12"/>
      <c r="V32" s="12"/>
      <c r="W32" s="12"/>
      <c r="X32" s="12"/>
      <c r="Y32" s="12"/>
      <c r="Z32" s="12"/>
      <c r="AA32" s="12"/>
      <c r="AB32" s="12"/>
      <c r="AC32" s="12">
        <f t="shared" si="0"/>
        <v>3</v>
      </c>
      <c r="AD32" s="29"/>
      <c r="AE32" s="29"/>
      <c r="AF32" s="29"/>
      <c r="AG32" s="29"/>
      <c r="AH32" s="29"/>
      <c r="AI32" s="29"/>
    </row>
    <row r="33" spans="1:35" ht="13.7" customHeight="1" x14ac:dyDescent="0.2">
      <c r="A33" s="9" t="s">
        <v>39</v>
      </c>
      <c r="B33" s="10" t="s">
        <v>40</v>
      </c>
      <c r="C33" s="11"/>
      <c r="D33" s="12"/>
      <c r="E33" s="12"/>
      <c r="F33" s="12"/>
      <c r="G33" s="12"/>
      <c r="H33" s="12"/>
      <c r="I33" s="12"/>
      <c r="J33" s="12"/>
      <c r="K33" s="12"/>
      <c r="L33" s="12"/>
      <c r="M33" s="12"/>
      <c r="N33" s="12"/>
      <c r="O33" s="12">
        <v>2</v>
      </c>
      <c r="P33" s="12"/>
      <c r="Q33" s="12"/>
      <c r="R33" s="12"/>
      <c r="S33" s="12"/>
      <c r="T33" s="12"/>
      <c r="U33" s="12"/>
      <c r="V33" s="12"/>
      <c r="W33" s="12"/>
      <c r="X33" s="12"/>
      <c r="Y33" s="12"/>
      <c r="Z33" s="12"/>
      <c r="AA33" s="12"/>
      <c r="AB33" s="12"/>
      <c r="AC33" s="12">
        <f t="shared" si="0"/>
        <v>2</v>
      </c>
      <c r="AD33" s="29"/>
      <c r="AE33" s="29"/>
      <c r="AF33" s="29"/>
      <c r="AG33" s="29"/>
      <c r="AH33" s="29"/>
      <c r="AI33" s="29"/>
    </row>
    <row r="34" spans="1:35" ht="13.7" customHeight="1" x14ac:dyDescent="0.2">
      <c r="A34" s="16" t="s">
        <v>41</v>
      </c>
      <c r="B34" s="14" t="s">
        <v>40</v>
      </c>
      <c r="C34" s="11">
        <v>2</v>
      </c>
      <c r="D34" s="12"/>
      <c r="E34" s="12"/>
      <c r="F34" s="12"/>
      <c r="G34" s="12"/>
      <c r="H34" s="12"/>
      <c r="I34" s="12"/>
      <c r="J34" s="12"/>
      <c r="K34" s="12"/>
      <c r="L34" s="12"/>
      <c r="M34" s="12"/>
      <c r="N34" s="12"/>
      <c r="O34" s="12">
        <v>4</v>
      </c>
      <c r="P34" s="12"/>
      <c r="Q34" s="12"/>
      <c r="R34" s="12"/>
      <c r="S34" s="12"/>
      <c r="T34" s="12"/>
      <c r="U34" s="12"/>
      <c r="V34" s="12"/>
      <c r="W34" s="12"/>
      <c r="X34" s="12"/>
      <c r="Y34" s="12"/>
      <c r="Z34" s="12"/>
      <c r="AA34" s="12"/>
      <c r="AB34" s="12"/>
      <c r="AC34" s="12">
        <f t="shared" si="0"/>
        <v>6</v>
      </c>
      <c r="AD34" s="29"/>
      <c r="AE34" s="29"/>
      <c r="AF34" s="29"/>
      <c r="AG34" s="29"/>
      <c r="AH34" s="29"/>
      <c r="AI34" s="29"/>
    </row>
    <row r="35" spans="1:35" ht="13.7" customHeight="1" x14ac:dyDescent="0.2">
      <c r="A35" s="16" t="s">
        <v>42</v>
      </c>
      <c r="B35" s="14" t="s">
        <v>40</v>
      </c>
      <c r="C35" s="11">
        <v>1</v>
      </c>
      <c r="D35" s="12"/>
      <c r="E35" s="12"/>
      <c r="F35" s="12"/>
      <c r="G35" s="12"/>
      <c r="H35" s="12"/>
      <c r="I35" s="12"/>
      <c r="J35" s="12"/>
      <c r="K35" s="12"/>
      <c r="L35" s="12"/>
      <c r="M35" s="12"/>
      <c r="N35" s="12"/>
      <c r="O35" s="12">
        <v>2</v>
      </c>
      <c r="P35" s="12"/>
      <c r="Q35" s="12"/>
      <c r="R35" s="12"/>
      <c r="S35" s="12"/>
      <c r="T35" s="12"/>
      <c r="U35" s="12"/>
      <c r="V35" s="12"/>
      <c r="W35" s="12"/>
      <c r="X35" s="12"/>
      <c r="Y35" s="12"/>
      <c r="Z35" s="12"/>
      <c r="AA35" s="12"/>
      <c r="AB35" s="12"/>
      <c r="AC35" s="12">
        <f t="shared" si="0"/>
        <v>3</v>
      </c>
      <c r="AD35" s="29"/>
      <c r="AE35" s="29"/>
      <c r="AF35" s="29"/>
      <c r="AG35" s="29"/>
      <c r="AH35" s="29"/>
      <c r="AI35" s="29"/>
    </row>
    <row r="36" spans="1:35" ht="13.7" customHeight="1" x14ac:dyDescent="0.2">
      <c r="A36" s="9" t="s">
        <v>43</v>
      </c>
      <c r="B36" s="14" t="s">
        <v>40</v>
      </c>
      <c r="C36" s="11"/>
      <c r="D36" s="12"/>
      <c r="E36" s="12"/>
      <c r="F36" s="12"/>
      <c r="G36" s="12"/>
      <c r="H36" s="12"/>
      <c r="I36" s="12"/>
      <c r="J36" s="12"/>
      <c r="K36" s="12"/>
      <c r="L36" s="12"/>
      <c r="M36" s="12"/>
      <c r="N36" s="12"/>
      <c r="O36" s="12">
        <v>1</v>
      </c>
      <c r="P36" s="12"/>
      <c r="Q36" s="12"/>
      <c r="R36" s="12"/>
      <c r="S36" s="12"/>
      <c r="T36" s="12"/>
      <c r="U36" s="12"/>
      <c r="V36" s="12"/>
      <c r="W36" s="12"/>
      <c r="X36" s="12"/>
      <c r="Y36" s="12"/>
      <c r="Z36" s="12"/>
      <c r="AA36" s="12"/>
      <c r="AB36" s="12"/>
      <c r="AC36" s="12">
        <f t="shared" si="0"/>
        <v>1</v>
      </c>
      <c r="AD36" s="29"/>
      <c r="AE36" s="29"/>
      <c r="AF36" s="29"/>
      <c r="AG36" s="29"/>
      <c r="AH36" s="29"/>
      <c r="AI36" s="29"/>
    </row>
    <row r="37" spans="1:35" ht="13.7" customHeight="1" x14ac:dyDescent="0.2">
      <c r="A37" s="16" t="s">
        <v>44</v>
      </c>
      <c r="B37" s="14" t="s">
        <v>40</v>
      </c>
      <c r="C37" s="11"/>
      <c r="D37" s="12"/>
      <c r="E37" s="12"/>
      <c r="F37" s="12"/>
      <c r="G37" s="12"/>
      <c r="H37" s="12"/>
      <c r="I37" s="12"/>
      <c r="J37" s="12"/>
      <c r="K37" s="12"/>
      <c r="L37" s="12"/>
      <c r="M37" s="12"/>
      <c r="N37" s="12"/>
      <c r="O37" s="12">
        <v>8</v>
      </c>
      <c r="P37" s="12"/>
      <c r="Q37" s="12"/>
      <c r="R37" s="12"/>
      <c r="S37" s="12"/>
      <c r="T37" s="12"/>
      <c r="U37" s="12"/>
      <c r="V37" s="12"/>
      <c r="W37" s="12"/>
      <c r="X37" s="12"/>
      <c r="Y37" s="12"/>
      <c r="Z37" s="12"/>
      <c r="AA37" s="12"/>
      <c r="AB37" s="12"/>
      <c r="AC37" s="12">
        <f t="shared" si="0"/>
        <v>8</v>
      </c>
      <c r="AD37" s="29"/>
      <c r="AE37" s="29"/>
      <c r="AF37" s="29"/>
      <c r="AG37" s="29"/>
      <c r="AH37" s="29"/>
      <c r="AI37" s="29"/>
    </row>
    <row r="38" spans="1:35" ht="13.7" customHeight="1" x14ac:dyDescent="0.2">
      <c r="A38" s="16" t="s">
        <v>74</v>
      </c>
      <c r="B38" s="14"/>
      <c r="C38" s="11"/>
      <c r="D38" s="12"/>
      <c r="E38" s="12"/>
      <c r="F38" s="12"/>
      <c r="G38" s="12"/>
      <c r="H38" s="12"/>
      <c r="I38" s="12"/>
      <c r="J38" s="12"/>
      <c r="K38" s="12"/>
      <c r="L38" s="12"/>
      <c r="M38" s="12"/>
      <c r="N38" s="12"/>
      <c r="O38" s="12">
        <v>3</v>
      </c>
      <c r="P38" s="12"/>
      <c r="Q38" s="12"/>
      <c r="R38" s="12"/>
      <c r="S38" s="12"/>
      <c r="T38" s="12"/>
      <c r="U38" s="12"/>
      <c r="V38" s="12"/>
      <c r="W38" s="12"/>
      <c r="X38" s="12"/>
      <c r="Y38" s="12"/>
      <c r="Z38" s="12"/>
      <c r="AA38" s="12"/>
      <c r="AB38" s="12"/>
      <c r="AC38" s="12">
        <f t="shared" si="0"/>
        <v>3</v>
      </c>
      <c r="AD38" s="29"/>
      <c r="AE38" s="29"/>
      <c r="AF38" s="29"/>
      <c r="AG38" s="29"/>
      <c r="AH38" s="29"/>
      <c r="AI38" s="29"/>
    </row>
    <row r="39" spans="1:35" ht="13.7" customHeight="1" x14ac:dyDescent="0.2">
      <c r="A39" s="9" t="s">
        <v>46</v>
      </c>
      <c r="B39" s="14" t="s">
        <v>40</v>
      </c>
      <c r="C39" s="11"/>
      <c r="D39" s="12"/>
      <c r="E39" s="12"/>
      <c r="F39" s="12"/>
      <c r="G39" s="12"/>
      <c r="H39" s="12"/>
      <c r="I39" s="12"/>
      <c r="J39" s="12"/>
      <c r="K39" s="12"/>
      <c r="L39" s="12"/>
      <c r="M39" s="12"/>
      <c r="N39" s="12"/>
      <c r="O39" s="12"/>
      <c r="P39" s="12"/>
      <c r="Q39" s="12"/>
      <c r="R39" s="12"/>
      <c r="S39" s="12"/>
      <c r="T39" s="12"/>
      <c r="U39" s="12"/>
      <c r="V39" s="12"/>
      <c r="W39" s="12"/>
      <c r="X39" s="12"/>
      <c r="Y39" s="12"/>
      <c r="Z39" s="12"/>
      <c r="AA39" s="12"/>
      <c r="AB39" s="12"/>
      <c r="AC39" s="12">
        <f t="shared" si="0"/>
        <v>0</v>
      </c>
      <c r="AD39" s="29"/>
      <c r="AE39" s="29"/>
      <c r="AF39" s="29"/>
      <c r="AG39" s="29"/>
      <c r="AH39" s="29"/>
      <c r="AI39" s="29"/>
    </row>
    <row r="40" spans="1:35" ht="13.7" customHeight="1" x14ac:dyDescent="0.2">
      <c r="A40" s="16" t="s">
        <v>47</v>
      </c>
      <c r="B40" s="14" t="s">
        <v>40</v>
      </c>
      <c r="C40" s="11"/>
      <c r="D40" s="12"/>
      <c r="E40" s="12"/>
      <c r="F40" s="12"/>
      <c r="G40" s="12"/>
      <c r="H40" s="12"/>
      <c r="I40" s="12"/>
      <c r="J40" s="12"/>
      <c r="K40" s="12"/>
      <c r="L40" s="12"/>
      <c r="M40" s="12"/>
      <c r="N40" s="12"/>
      <c r="O40" s="12"/>
      <c r="P40" s="12"/>
      <c r="Q40" s="12"/>
      <c r="R40" s="12"/>
      <c r="S40" s="12"/>
      <c r="T40" s="12"/>
      <c r="U40" s="12"/>
      <c r="V40" s="12"/>
      <c r="W40" s="12"/>
      <c r="X40" s="12"/>
      <c r="Y40" s="12"/>
      <c r="Z40" s="12"/>
      <c r="AA40" s="12"/>
      <c r="AB40" s="12"/>
      <c r="AC40" s="12">
        <f t="shared" si="0"/>
        <v>0</v>
      </c>
      <c r="AD40" s="29"/>
      <c r="AE40" s="29"/>
      <c r="AF40" s="29"/>
      <c r="AG40" s="29"/>
      <c r="AH40" s="29"/>
      <c r="AI40" s="29"/>
    </row>
    <row r="41" spans="1:35" ht="13.7" customHeight="1" x14ac:dyDescent="0.2">
      <c r="A41" s="125" t="s">
        <v>8</v>
      </c>
      <c r="B41" s="125"/>
      <c r="C41" s="17">
        <f>SUM(C5:C40)</f>
        <v>5</v>
      </c>
      <c r="D41" s="17">
        <f>SUM(D5:D40)</f>
        <v>0</v>
      </c>
      <c r="E41" s="17">
        <f>SUM(E5:E40)</f>
        <v>0</v>
      </c>
      <c r="F41" s="17">
        <f>SUM(F5:F40)</f>
        <v>0</v>
      </c>
      <c r="G41" s="17"/>
      <c r="H41" s="17"/>
      <c r="I41" s="17">
        <f t="shared" ref="I41:AC41" si="1">SUM(I5:I40)</f>
        <v>0</v>
      </c>
      <c r="J41" s="17">
        <f t="shared" si="1"/>
        <v>0</v>
      </c>
      <c r="K41" s="17">
        <f t="shared" si="1"/>
        <v>0</v>
      </c>
      <c r="L41" s="17">
        <f t="shared" si="1"/>
        <v>0</v>
      </c>
      <c r="M41" s="17">
        <f t="shared" si="1"/>
        <v>0</v>
      </c>
      <c r="N41" s="17">
        <f t="shared" si="1"/>
        <v>0</v>
      </c>
      <c r="O41" s="17">
        <f t="shared" si="1"/>
        <v>27</v>
      </c>
      <c r="P41" s="17">
        <f t="shared" si="1"/>
        <v>0</v>
      </c>
      <c r="Q41" s="17">
        <f t="shared" si="1"/>
        <v>0</v>
      </c>
      <c r="R41" s="17">
        <f t="shared" si="1"/>
        <v>0</v>
      </c>
      <c r="S41" s="17">
        <f t="shared" si="1"/>
        <v>0</v>
      </c>
      <c r="T41" s="17">
        <f t="shared" si="1"/>
        <v>0</v>
      </c>
      <c r="U41" s="17">
        <f t="shared" si="1"/>
        <v>0</v>
      </c>
      <c r="V41" s="17">
        <f t="shared" si="1"/>
        <v>0</v>
      </c>
      <c r="W41" s="17">
        <f t="shared" si="1"/>
        <v>0</v>
      </c>
      <c r="X41" s="17">
        <f t="shared" si="1"/>
        <v>0</v>
      </c>
      <c r="Y41" s="17">
        <f t="shared" si="1"/>
        <v>0</v>
      </c>
      <c r="Z41" s="17">
        <f t="shared" si="1"/>
        <v>0</v>
      </c>
      <c r="AA41" s="17">
        <f t="shared" si="1"/>
        <v>0</v>
      </c>
      <c r="AB41" s="17">
        <f t="shared" si="1"/>
        <v>0</v>
      </c>
      <c r="AC41" s="17">
        <f t="shared" si="1"/>
        <v>32</v>
      </c>
      <c r="AD41" s="29"/>
      <c r="AE41" s="29"/>
      <c r="AF41" s="29"/>
      <c r="AG41" s="29"/>
      <c r="AH41" s="29"/>
      <c r="AI41" s="29"/>
    </row>
    <row r="42" spans="1:35" x14ac:dyDescent="0.2">
      <c r="Z42" s="29"/>
      <c r="AA42" s="29"/>
      <c r="AB42" s="29"/>
      <c r="AC42" s="29"/>
      <c r="AD42" s="29"/>
      <c r="AE42" s="29"/>
      <c r="AF42" s="29"/>
      <c r="AG42" s="29"/>
      <c r="AH42" s="29"/>
      <c r="AI42" s="29"/>
    </row>
    <row r="43" spans="1:35" ht="15.75" customHeight="1" x14ac:dyDescent="0.25">
      <c r="F43" s="120" t="s">
        <v>75</v>
      </c>
      <c r="G43" s="120"/>
      <c r="H43" s="120"/>
      <c r="I43" s="120"/>
      <c r="J43" s="120"/>
      <c r="K43" s="120"/>
      <c r="L43" s="120"/>
      <c r="M43" s="120"/>
      <c r="N43" s="120"/>
      <c r="O43" s="120"/>
      <c r="Z43" s="29"/>
      <c r="AA43" s="29"/>
      <c r="AB43" s="29"/>
      <c r="AC43" s="29"/>
      <c r="AD43" s="29"/>
      <c r="AE43" s="29"/>
      <c r="AF43" s="29"/>
      <c r="AG43" s="29"/>
      <c r="AH43" s="29"/>
      <c r="AI43" s="29"/>
    </row>
    <row r="44" spans="1:35" ht="15" customHeight="1" x14ac:dyDescent="0.2">
      <c r="F44" s="121" t="s">
        <v>76</v>
      </c>
      <c r="G44" s="121"/>
      <c r="H44" s="121"/>
      <c r="I44" s="121"/>
      <c r="J44" s="121"/>
      <c r="K44" s="121"/>
      <c r="L44" s="121"/>
      <c r="M44" s="121"/>
      <c r="N44" s="121"/>
      <c r="O44" s="121"/>
      <c r="Z44" s="29"/>
      <c r="AA44" s="29"/>
      <c r="AB44" s="29"/>
      <c r="AC44" s="29"/>
      <c r="AD44" s="29"/>
      <c r="AE44" s="29"/>
      <c r="AF44" s="29"/>
      <c r="AG44" s="29"/>
      <c r="AH44" s="29"/>
      <c r="AI44" s="29"/>
    </row>
  </sheetData>
  <sheetProtection selectLockedCells="1" selectUnlockedCells="1"/>
  <mergeCells count="6">
    <mergeCell ref="F44:O44"/>
    <mergeCell ref="A1:R1"/>
    <mergeCell ref="A2:R2"/>
    <mergeCell ref="A3:R3"/>
    <mergeCell ref="A41:B41"/>
    <mergeCell ref="F43:O43"/>
  </mergeCells>
  <conditionalFormatting sqref="D8:F40">
    <cfRule type="cellIs" dxfId="0" priority="1" stopIfTrue="1" operator="equal">
      <formula>0</formula>
    </cfRule>
  </conditionalFormatting>
  <pageMargins left="0.38958333333333334" right="0.4597222222222222" top="0.25" bottom="0.37986111111111109" header="0.51180555555555551" footer="0.51180555555555551"/>
  <pageSetup paperSize="9" scale="78" firstPageNumber="0" orientation="landscape" horizontalDpi="300" verticalDpi="300" r:id="rId1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49681B3-7490-4A9B-9589-AD9A5C20FD6A}">
  <dimension ref="B1:U44"/>
  <sheetViews>
    <sheetView view="pageBreakPreview" zoomScale="75" zoomScaleNormal="75" zoomScaleSheetLayoutView="75" workbookViewId="0">
      <selection activeCell="H40" sqref="H40"/>
    </sheetView>
  </sheetViews>
  <sheetFormatPr defaultColWidth="11.42578125" defaultRowHeight="12.75" x14ac:dyDescent="0.2"/>
  <cols>
    <col min="1" max="2" width="3.85546875" customWidth="1"/>
    <col min="3" max="3" width="4.140625" customWidth="1"/>
    <col min="4" max="4" width="5.42578125" customWidth="1"/>
    <col min="5" max="5" width="5.28515625" customWidth="1"/>
    <col min="6" max="6" width="5.140625" customWidth="1"/>
    <col min="7" max="7" width="4.42578125" customWidth="1"/>
    <col min="8" max="8" width="7.42578125" customWidth="1"/>
    <col min="9" max="9" width="5.42578125" customWidth="1"/>
    <col min="10" max="10" width="8.85546875" customWidth="1"/>
    <col min="11" max="12" width="5.42578125" customWidth="1"/>
    <col min="13" max="13" width="4.5703125" customWidth="1"/>
    <col min="14" max="15" width="4.140625" customWidth="1"/>
    <col min="16" max="16" width="4.42578125" customWidth="1"/>
    <col min="17" max="17" width="6.7109375" customWidth="1"/>
    <col min="18" max="18" width="5.42578125" customWidth="1"/>
    <col min="19" max="19" width="4" customWidth="1"/>
    <col min="20" max="20" width="5.42578125" customWidth="1"/>
    <col min="21" max="21" width="9" customWidth="1"/>
    <col min="22" max="22" width="4.5703125" customWidth="1"/>
  </cols>
  <sheetData>
    <row r="1" spans="2:21" x14ac:dyDescent="0.2">
      <c r="B1" s="127"/>
      <c r="C1" s="127"/>
      <c r="D1" s="127"/>
      <c r="E1" s="127"/>
      <c r="F1" s="127"/>
      <c r="G1" s="127"/>
      <c r="H1" s="127"/>
      <c r="I1" s="127"/>
      <c r="J1" s="127"/>
      <c r="K1" s="127"/>
      <c r="L1" s="127"/>
      <c r="M1" s="127"/>
      <c r="N1" s="127"/>
      <c r="O1" s="127"/>
      <c r="P1" s="127"/>
      <c r="Q1" s="127"/>
      <c r="R1" s="127"/>
      <c r="S1" s="127"/>
      <c r="T1" s="127"/>
      <c r="U1" s="127"/>
    </row>
    <row r="6" spans="2:21" ht="19.5" customHeight="1" x14ac:dyDescent="0.2"/>
    <row r="7" spans="2:21" ht="21.2" customHeight="1" x14ac:dyDescent="0.2"/>
    <row r="9" spans="2:21" ht="19.5" customHeight="1" x14ac:dyDescent="0.2"/>
    <row r="10" spans="2:21" ht="19.5" customHeight="1" x14ac:dyDescent="0.2"/>
    <row r="11" spans="2:21" ht="21.2" customHeight="1" x14ac:dyDescent="0.2"/>
    <row r="12" spans="2:21" ht="21.2" customHeight="1" x14ac:dyDescent="0.2"/>
    <row r="14" spans="2:21" ht="18" customHeight="1" x14ac:dyDescent="0.2"/>
    <row r="15" spans="2:21" ht="16.5" customHeight="1" x14ac:dyDescent="0.2"/>
    <row r="16" spans="2:21" ht="18.399999999999999" customHeight="1" x14ac:dyDescent="0.2"/>
    <row r="17" ht="18.399999999999999" customHeight="1" x14ac:dyDescent="0.2"/>
    <row r="18" ht="18.399999999999999" customHeight="1" x14ac:dyDescent="0.2"/>
    <row r="19" ht="18.399999999999999" customHeight="1" x14ac:dyDescent="0.2"/>
    <row r="20" ht="18.399999999999999" customHeight="1" x14ac:dyDescent="0.2"/>
    <row r="21" ht="18.399999999999999" customHeight="1" x14ac:dyDescent="0.2"/>
    <row r="22" ht="18.399999999999999" customHeight="1" x14ac:dyDescent="0.2"/>
    <row r="23" ht="18.399999999999999" customHeight="1" x14ac:dyDescent="0.2"/>
    <row r="24" ht="18.399999999999999" customHeight="1" x14ac:dyDescent="0.2"/>
    <row r="25" ht="18.399999999999999" customHeight="1" x14ac:dyDescent="0.2"/>
    <row r="26" ht="18.399999999999999" customHeight="1" x14ac:dyDescent="0.2"/>
    <row r="27" ht="18.399999999999999" customHeight="1" x14ac:dyDescent="0.2"/>
    <row r="28" ht="18.399999999999999" customHeight="1" x14ac:dyDescent="0.2"/>
    <row r="29" ht="18.399999999999999" customHeight="1" x14ac:dyDescent="0.2"/>
    <row r="30" ht="18.399999999999999" customHeight="1" x14ac:dyDescent="0.2"/>
    <row r="31" ht="18.399999999999999" customHeight="1" x14ac:dyDescent="0.2"/>
    <row r="32" ht="18.399999999999999" customHeight="1" x14ac:dyDescent="0.2"/>
    <row r="33" ht="18.399999999999999" customHeight="1" x14ac:dyDescent="0.2"/>
    <row r="34" ht="18.399999999999999" customHeight="1" x14ac:dyDescent="0.2"/>
    <row r="35" ht="18.399999999999999" customHeight="1" x14ac:dyDescent="0.2"/>
    <row r="37" ht="20.85" customHeight="1" x14ac:dyDescent="0.2"/>
    <row r="38" ht="19.5" customHeight="1" x14ac:dyDescent="0.2"/>
    <row r="39" ht="18" customHeight="1" x14ac:dyDescent="0.2"/>
    <row r="40" ht="21.2" customHeight="1" x14ac:dyDescent="0.2"/>
    <row r="42" ht="19.5" customHeight="1" x14ac:dyDescent="0.2"/>
    <row r="43" ht="18" customHeight="1" x14ac:dyDescent="0.2"/>
    <row r="44" ht="21.2" customHeight="1" x14ac:dyDescent="0.2"/>
  </sheetData>
  <sheetProtection selectLockedCells="1" selectUnlockedCells="1"/>
  <mergeCells count="1">
    <mergeCell ref="B1:U1"/>
  </mergeCells>
  <pageMargins left="0.39374999999999999" right="0.39374999999999999" top="0.59027777777777779" bottom="0.39374999999999999" header="0.51180555555555551" footer="0.51180555555555551"/>
  <pageSetup paperSize="9" scale="80" firstPageNumber="0" orientation="portrait" horizontalDpi="300" verticalDpi="300" r:id="rId1"/>
  <headerFooter alignWithMargins="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714E368-25E0-41FE-B6C0-AC446BCD2E64}">
  <dimension ref="A1"/>
  <sheetViews>
    <sheetView view="pageBreakPreview" zoomScale="75" zoomScaleNormal="75" zoomScaleSheetLayoutView="75" workbookViewId="0"/>
  </sheetViews>
  <sheetFormatPr defaultColWidth="11.5703125" defaultRowHeight="12.75" x14ac:dyDescent="0.2"/>
  <sheetData/>
  <sheetProtection selectLockedCells="1" selectUnlockedCells="1"/>
  <pageMargins left="0.78749999999999998" right="0.78749999999999998" top="1.0527777777777778" bottom="1.0527777777777778" header="0.78749999999999998" footer="0.78749999999999998"/>
  <pageSetup paperSize="9" firstPageNumber="0" orientation="portrait" horizontalDpi="300" verticalDpi="300" r:id="rId1"/>
  <headerFooter alignWithMargins="0">
    <oddHeader>&amp;C&amp;"Times New Roman,Regular"&amp;12&amp;A</oddHeader>
    <oddFooter>&amp;C&amp;"Times New Roman,Regular"&amp;12Page &amp;P</oddFooter>
  </headerFooter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A6A4368-F276-461A-A6B1-D523037C1210}">
  <dimension ref="A1"/>
  <sheetViews>
    <sheetView view="pageBreakPreview" zoomScale="75" zoomScaleNormal="75" zoomScaleSheetLayoutView="75" workbookViewId="0"/>
  </sheetViews>
  <sheetFormatPr defaultColWidth="11.5703125" defaultRowHeight="12.75" x14ac:dyDescent="0.2"/>
  <sheetData/>
  <sheetProtection selectLockedCells="1" selectUnlockedCells="1"/>
  <pageMargins left="0.78749999999999998" right="0.78749999999999998" top="1.0527777777777778" bottom="1.0527777777777778" header="0.78749999999999998" footer="0.78749999999999998"/>
  <pageSetup paperSize="9" firstPageNumber="0" orientation="portrait" horizontalDpi="300" verticalDpi="300" r:id="rId1"/>
  <headerFooter alignWithMargins="0">
    <oddHeader>&amp;C&amp;"Times New Roman,Regular"&amp;12&amp;A</oddHeader>
    <oddFooter>&amp;C&amp;"Times New Roman,Regular"&amp;12Page &amp;P</oddFooter>
  </headerFooter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06B2E0D-4AF6-445F-A2AA-3E5B80ECE401}">
  <dimension ref="A1"/>
  <sheetViews>
    <sheetView view="pageBreakPreview" zoomScale="75" zoomScaleNormal="75" zoomScaleSheetLayoutView="75" workbookViewId="0"/>
  </sheetViews>
  <sheetFormatPr defaultColWidth="11.5703125" defaultRowHeight="12.75" x14ac:dyDescent="0.2"/>
  <sheetData/>
  <sheetProtection selectLockedCells="1" selectUnlockedCells="1"/>
  <pageMargins left="0.78749999999999998" right="0.78749999999999998" top="1.0527777777777778" bottom="1.0527777777777778" header="0.78749999999999998" footer="0.78749999999999998"/>
  <pageSetup paperSize="9" firstPageNumber="0" orientation="portrait" horizontalDpi="300" verticalDpi="300" r:id="rId1"/>
  <headerFooter alignWithMargins="0">
    <oddHeader>&amp;C&amp;"Times New Roman,Regular"&amp;12&amp;A</oddHeader>
    <oddFooter>&amp;C&amp;"Times New Roman,Regular"&amp;12Page &amp;P</oddFooter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43FD588-8BCE-488F-BAC3-1732C7BD520D}">
  <dimension ref="A1:AJ138"/>
  <sheetViews>
    <sheetView tabSelected="1" view="pageBreakPreview" topLeftCell="C21" zoomScaleSheetLayoutView="100" workbookViewId="0">
      <selection activeCell="L46" sqref="L46"/>
    </sheetView>
  </sheetViews>
  <sheetFormatPr defaultColWidth="8.5703125" defaultRowHeight="12.75" x14ac:dyDescent="0.2"/>
  <cols>
    <col min="1" max="1" width="6.7109375" style="30" customWidth="1"/>
    <col min="2" max="2" width="21.28515625" bestFit="1" customWidth="1"/>
    <col min="3" max="3" width="31.140625" customWidth="1"/>
    <col min="4" max="4" width="10.7109375" customWidth="1"/>
    <col min="5" max="18" width="12.7109375" customWidth="1"/>
    <col min="19" max="19" width="9.28515625" customWidth="1"/>
    <col min="20" max="20" width="10.28515625" customWidth="1"/>
    <col min="21" max="21" width="13" customWidth="1"/>
    <col min="22" max="22" width="15.42578125" customWidth="1"/>
    <col min="23" max="23" width="5.5703125" customWidth="1"/>
    <col min="24" max="24" width="5.42578125" customWidth="1"/>
    <col min="25" max="25" width="13.7109375" customWidth="1"/>
    <col min="26" max="26" width="6" customWidth="1"/>
    <col min="27" max="27" width="10.7109375" customWidth="1"/>
    <col min="28" max="28" width="5.28515625" customWidth="1"/>
    <col min="29" max="29" width="5.42578125" customWidth="1"/>
    <col min="30" max="30" width="9.42578125" customWidth="1"/>
    <col min="31" max="31" width="12" customWidth="1"/>
    <col min="32" max="32" width="15.42578125" customWidth="1"/>
    <col min="33" max="33" width="15.140625" customWidth="1"/>
    <col min="34" max="34" width="13" customWidth="1"/>
  </cols>
  <sheetData>
    <row r="1" spans="1:22" ht="26.85" customHeight="1" thickTop="1" thickBot="1" x14ac:dyDescent="0.25">
      <c r="A1" s="86" t="s">
        <v>82</v>
      </c>
      <c r="B1" s="86" t="s">
        <v>83</v>
      </c>
      <c r="C1" s="86" t="s">
        <v>84</v>
      </c>
      <c r="E1" s="149" t="s">
        <v>77</v>
      </c>
      <c r="F1" s="149"/>
      <c r="G1" s="149"/>
      <c r="H1" s="149"/>
      <c r="I1" s="149"/>
      <c r="J1" s="149"/>
      <c r="K1" s="149"/>
      <c r="L1" s="149"/>
      <c r="M1" s="149"/>
      <c r="N1" s="149"/>
      <c r="O1" s="149"/>
      <c r="P1" s="149"/>
      <c r="Q1" s="149"/>
      <c r="R1" s="149"/>
      <c r="T1" s="150" t="s">
        <v>51</v>
      </c>
      <c r="U1" s="150"/>
      <c r="V1" s="150"/>
    </row>
    <row r="2" spans="1:22" ht="17.25" thickTop="1" thickBot="1" x14ac:dyDescent="0.3">
      <c r="A2" s="115">
        <v>1</v>
      </c>
      <c r="B2" s="110" t="s">
        <v>304</v>
      </c>
      <c r="C2" s="110" t="s">
        <v>305</v>
      </c>
      <c r="E2" s="84" t="s">
        <v>78</v>
      </c>
      <c r="F2" s="82" t="s">
        <v>79</v>
      </c>
      <c r="G2" s="82" t="s">
        <v>78</v>
      </c>
      <c r="H2" s="82" t="s">
        <v>79</v>
      </c>
      <c r="I2" s="82" t="s">
        <v>78</v>
      </c>
      <c r="J2" s="82" t="s">
        <v>79</v>
      </c>
      <c r="K2" s="82" t="s">
        <v>78</v>
      </c>
      <c r="L2" s="82" t="s">
        <v>79</v>
      </c>
      <c r="M2" s="82" t="s">
        <v>78</v>
      </c>
      <c r="N2" s="82" t="s">
        <v>79</v>
      </c>
      <c r="O2" s="82" t="s">
        <v>78</v>
      </c>
      <c r="P2" s="82" t="s">
        <v>79</v>
      </c>
      <c r="Q2" s="82" t="s">
        <v>78</v>
      </c>
      <c r="R2" s="83" t="s">
        <v>79</v>
      </c>
      <c r="T2" s="31" t="s">
        <v>80</v>
      </c>
      <c r="U2" s="32" t="s">
        <v>81</v>
      </c>
      <c r="V2" s="33" t="s">
        <v>7</v>
      </c>
    </row>
    <row r="3" spans="1:22" ht="18" customHeight="1" thickTop="1" thickBot="1" x14ac:dyDescent="0.25">
      <c r="A3" s="114">
        <v>2</v>
      </c>
      <c r="B3" s="110" t="s">
        <v>180</v>
      </c>
      <c r="C3" s="110" t="s">
        <v>163</v>
      </c>
      <c r="E3" s="34" t="s">
        <v>85</v>
      </c>
      <c r="F3" s="35" t="s">
        <v>85</v>
      </c>
      <c r="G3" s="35" t="s">
        <v>86</v>
      </c>
      <c r="H3" s="35" t="s">
        <v>86</v>
      </c>
      <c r="I3" s="35" t="s">
        <v>87</v>
      </c>
      <c r="J3" s="35" t="s">
        <v>87</v>
      </c>
      <c r="K3" s="36" t="s">
        <v>88</v>
      </c>
      <c r="L3" s="36" t="s">
        <v>88</v>
      </c>
      <c r="M3" s="36" t="s">
        <v>89</v>
      </c>
      <c r="N3" s="36" t="s">
        <v>89</v>
      </c>
      <c r="O3" s="36"/>
      <c r="P3" s="37"/>
      <c r="Q3" s="37" t="s">
        <v>51</v>
      </c>
      <c r="R3" s="38" t="s">
        <v>51</v>
      </c>
      <c r="T3" s="39">
        <f>Q5+R5</f>
        <v>0</v>
      </c>
      <c r="U3" s="40">
        <f>T52</f>
        <v>0</v>
      </c>
      <c r="V3" s="41">
        <f>T3-U3</f>
        <v>0</v>
      </c>
    </row>
    <row r="4" spans="1:22" ht="15" customHeight="1" x14ac:dyDescent="0.2">
      <c r="A4" s="114">
        <v>3</v>
      </c>
      <c r="B4" s="111" t="s">
        <v>180</v>
      </c>
      <c r="C4" s="112" t="s">
        <v>302</v>
      </c>
      <c r="E4" s="42"/>
      <c r="F4" s="37"/>
      <c r="G4" s="43"/>
      <c r="H4" s="43"/>
      <c r="I4" s="43"/>
      <c r="J4" s="43"/>
      <c r="K4" s="37"/>
      <c r="L4" s="37"/>
      <c r="M4" s="37"/>
      <c r="N4" s="37"/>
      <c r="O4" s="37"/>
      <c r="P4" s="37"/>
      <c r="Q4" s="37"/>
      <c r="R4" s="44"/>
      <c r="T4" s="151" t="s">
        <v>90</v>
      </c>
      <c r="U4" s="151"/>
      <c r="V4" s="151"/>
    </row>
    <row r="5" spans="1:22" ht="15" customHeight="1" x14ac:dyDescent="0.25">
      <c r="A5" s="115">
        <v>4</v>
      </c>
      <c r="B5" s="111" t="s">
        <v>232</v>
      </c>
      <c r="C5" s="112" t="s">
        <v>233</v>
      </c>
      <c r="E5" s="45">
        <v>20</v>
      </c>
      <c r="F5" s="46">
        <v>6</v>
      </c>
      <c r="G5" s="101"/>
      <c r="H5" s="101"/>
      <c r="I5" s="46">
        <v>3</v>
      </c>
      <c r="J5" s="46">
        <v>3</v>
      </c>
      <c r="K5" s="46">
        <v>8</v>
      </c>
      <c r="L5" s="46">
        <v>4</v>
      </c>
      <c r="M5" s="46"/>
      <c r="N5" s="46"/>
      <c r="O5" s="101"/>
      <c r="P5" s="101"/>
      <c r="Q5" s="101"/>
      <c r="R5" s="102"/>
      <c r="T5" s="47" t="s">
        <v>80</v>
      </c>
      <c r="U5" s="48" t="s">
        <v>81</v>
      </c>
      <c r="V5" s="49" t="s">
        <v>7</v>
      </c>
    </row>
    <row r="6" spans="1:22" ht="15" customHeight="1" thickBot="1" x14ac:dyDescent="0.25">
      <c r="A6" s="114">
        <v>5</v>
      </c>
      <c r="B6" s="111" t="s">
        <v>298</v>
      </c>
      <c r="C6" s="112" t="s">
        <v>299</v>
      </c>
      <c r="E6" s="50" t="s">
        <v>176</v>
      </c>
      <c r="F6" s="43" t="s">
        <v>176</v>
      </c>
      <c r="G6" s="43" t="s">
        <v>169</v>
      </c>
      <c r="H6" s="43" t="s">
        <v>169</v>
      </c>
      <c r="I6" s="43" t="s">
        <v>168</v>
      </c>
      <c r="J6" s="43" t="s">
        <v>168</v>
      </c>
      <c r="K6" s="43" t="s">
        <v>166</v>
      </c>
      <c r="L6" s="43" t="s">
        <v>166</v>
      </c>
      <c r="M6" s="43" t="s">
        <v>165</v>
      </c>
      <c r="N6" s="43" t="s">
        <v>165</v>
      </c>
      <c r="O6" s="43" t="s">
        <v>91</v>
      </c>
      <c r="P6" s="43" t="s">
        <v>91</v>
      </c>
      <c r="Q6" s="51" t="s">
        <v>92</v>
      </c>
      <c r="R6" s="52" t="s">
        <v>92</v>
      </c>
      <c r="T6" s="47">
        <f>SUM(G5+H5+E5+F5)</f>
        <v>26</v>
      </c>
      <c r="U6" s="48">
        <f>T51</f>
        <v>6</v>
      </c>
      <c r="V6" s="49">
        <f>T6-U6</f>
        <v>20</v>
      </c>
    </row>
    <row r="7" spans="1:22" ht="15" customHeight="1" x14ac:dyDescent="0.2">
      <c r="A7" s="114">
        <v>6</v>
      </c>
      <c r="B7" s="113" t="s">
        <v>298</v>
      </c>
      <c r="C7" s="113" t="s">
        <v>300</v>
      </c>
      <c r="E7" s="50"/>
      <c r="F7" s="43"/>
      <c r="G7" s="43"/>
      <c r="H7" s="43"/>
      <c r="I7" s="43"/>
      <c r="J7" s="43"/>
      <c r="K7" s="43"/>
      <c r="L7" s="43"/>
      <c r="M7" s="43"/>
      <c r="N7" s="43"/>
      <c r="O7" s="43"/>
      <c r="P7" s="43"/>
      <c r="Q7" s="51"/>
      <c r="R7" s="52"/>
      <c r="T7" s="53"/>
      <c r="U7" s="54" t="s">
        <v>93</v>
      </c>
      <c r="V7" s="55"/>
    </row>
    <row r="8" spans="1:22" ht="15" customHeight="1" x14ac:dyDescent="0.25">
      <c r="A8" s="115">
        <v>7</v>
      </c>
      <c r="B8" s="111" t="s">
        <v>159</v>
      </c>
      <c r="C8" s="112" t="s">
        <v>177</v>
      </c>
      <c r="D8" s="56"/>
      <c r="E8" s="45">
        <v>10</v>
      </c>
      <c r="F8" s="46">
        <v>2</v>
      </c>
      <c r="G8" s="46">
        <v>14</v>
      </c>
      <c r="H8" s="46">
        <v>3</v>
      </c>
      <c r="I8" s="46">
        <v>12</v>
      </c>
      <c r="J8" s="46">
        <v>1</v>
      </c>
      <c r="K8" s="46">
        <v>12</v>
      </c>
      <c r="L8" s="46">
        <v>1</v>
      </c>
      <c r="M8" s="46">
        <v>14</v>
      </c>
      <c r="N8" s="101"/>
      <c r="O8" s="46">
        <v>1</v>
      </c>
      <c r="P8" s="46"/>
      <c r="Q8" s="46">
        <v>8</v>
      </c>
      <c r="R8" s="102"/>
      <c r="T8" s="47" t="s">
        <v>80</v>
      </c>
      <c r="U8" s="48" t="s">
        <v>81</v>
      </c>
      <c r="V8" s="49" t="s">
        <v>7</v>
      </c>
    </row>
    <row r="9" spans="1:22" ht="15" customHeight="1" x14ac:dyDescent="0.2">
      <c r="A9" s="114">
        <v>8</v>
      </c>
      <c r="B9" s="113" t="s">
        <v>186</v>
      </c>
      <c r="C9" s="113" t="s">
        <v>238</v>
      </c>
      <c r="D9" s="57"/>
      <c r="E9" s="50" t="s">
        <v>94</v>
      </c>
      <c r="F9" s="43" t="s">
        <v>94</v>
      </c>
      <c r="G9" s="43" t="s">
        <v>164</v>
      </c>
      <c r="H9" s="43" t="s">
        <v>164</v>
      </c>
      <c r="I9" s="43" t="s">
        <v>95</v>
      </c>
      <c r="J9" s="43" t="s">
        <v>95</v>
      </c>
      <c r="K9" s="43" t="s">
        <v>96</v>
      </c>
      <c r="L9" s="43" t="s">
        <v>96</v>
      </c>
      <c r="M9" s="43" t="s">
        <v>97</v>
      </c>
      <c r="N9" s="43" t="s">
        <v>97</v>
      </c>
      <c r="O9" s="43" t="s">
        <v>98</v>
      </c>
      <c r="P9" s="43" t="s">
        <v>98</v>
      </c>
      <c r="Q9" s="43" t="s">
        <v>99</v>
      </c>
      <c r="R9" s="58" t="s">
        <v>99</v>
      </c>
      <c r="T9" s="47">
        <f>I5+J5+K5+L5</f>
        <v>18</v>
      </c>
      <c r="U9" s="48">
        <f>SUM(T49:T50)</f>
        <v>11</v>
      </c>
      <c r="V9" s="49">
        <f>T9-U9</f>
        <v>7</v>
      </c>
    </row>
    <row r="10" spans="1:22" ht="15" customHeight="1" thickBot="1" x14ac:dyDescent="0.25">
      <c r="A10" s="114">
        <v>9</v>
      </c>
      <c r="B10" s="113" t="s">
        <v>186</v>
      </c>
      <c r="C10" s="113" t="s">
        <v>239</v>
      </c>
      <c r="D10" s="57"/>
      <c r="E10" s="109"/>
      <c r="F10" s="43"/>
      <c r="G10" s="43"/>
      <c r="H10" s="43"/>
      <c r="I10" s="43"/>
      <c r="J10" s="43"/>
      <c r="K10" s="43"/>
      <c r="L10" s="43"/>
      <c r="M10" s="43"/>
      <c r="N10" s="43"/>
      <c r="O10" s="43"/>
      <c r="P10" s="43"/>
      <c r="Q10" s="43"/>
      <c r="R10" s="58"/>
      <c r="T10" s="106"/>
      <c r="U10" s="107"/>
      <c r="V10" s="108"/>
    </row>
    <row r="11" spans="1:22" ht="15" customHeight="1" x14ac:dyDescent="0.25">
      <c r="A11" s="115">
        <v>10</v>
      </c>
      <c r="B11" s="113" t="s">
        <v>186</v>
      </c>
      <c r="C11" s="113" t="s">
        <v>187</v>
      </c>
      <c r="D11" s="59"/>
      <c r="E11" s="50"/>
      <c r="F11" s="43"/>
      <c r="G11" s="43"/>
      <c r="H11" s="43"/>
      <c r="I11" s="43"/>
      <c r="J11" s="43"/>
      <c r="K11" s="43"/>
      <c r="L11" s="43"/>
      <c r="M11" s="43"/>
      <c r="N11" s="43"/>
      <c r="O11" s="43"/>
      <c r="P11" s="43"/>
      <c r="Q11" s="43"/>
      <c r="R11" s="58"/>
      <c r="T11" s="151" t="s">
        <v>100</v>
      </c>
      <c r="U11" s="151"/>
      <c r="V11" s="151"/>
    </row>
    <row r="12" spans="1:22" ht="15" customHeight="1" x14ac:dyDescent="0.2">
      <c r="A12" s="114">
        <v>11</v>
      </c>
      <c r="B12" s="113" t="s">
        <v>188</v>
      </c>
      <c r="C12" s="113" t="s">
        <v>189</v>
      </c>
      <c r="D12" s="60"/>
      <c r="E12" s="45">
        <v>5</v>
      </c>
      <c r="F12" s="46"/>
      <c r="G12" s="46">
        <v>3</v>
      </c>
      <c r="H12" s="46"/>
      <c r="I12" s="46"/>
      <c r="J12" s="46"/>
      <c r="K12" s="46">
        <v>1</v>
      </c>
      <c r="L12" s="46"/>
      <c r="M12" s="46"/>
      <c r="N12" s="46"/>
      <c r="O12" s="46"/>
      <c r="P12" s="46"/>
      <c r="Q12" s="46"/>
      <c r="R12" s="61"/>
      <c r="T12" s="47" t="s">
        <v>80</v>
      </c>
      <c r="U12" s="48" t="s">
        <v>81</v>
      </c>
      <c r="V12" s="49" t="s">
        <v>7</v>
      </c>
    </row>
    <row r="13" spans="1:22" ht="15" customHeight="1" x14ac:dyDescent="0.2">
      <c r="A13" s="114">
        <v>12</v>
      </c>
      <c r="B13" s="113" t="s">
        <v>188</v>
      </c>
      <c r="C13" s="113" t="s">
        <v>190</v>
      </c>
      <c r="E13" s="50" t="s">
        <v>101</v>
      </c>
      <c r="F13" s="43" t="s">
        <v>102</v>
      </c>
      <c r="G13" s="43" t="s">
        <v>103</v>
      </c>
      <c r="H13" s="43" t="s">
        <v>103</v>
      </c>
      <c r="I13" s="43" t="s">
        <v>104</v>
      </c>
      <c r="J13" s="43" t="s">
        <v>104</v>
      </c>
      <c r="K13" s="43" t="s">
        <v>105</v>
      </c>
      <c r="L13" s="43" t="s">
        <v>105</v>
      </c>
      <c r="M13" s="43" t="s">
        <v>106</v>
      </c>
      <c r="N13" s="43" t="s">
        <v>106</v>
      </c>
      <c r="O13" s="43" t="s">
        <v>107</v>
      </c>
      <c r="P13" s="43" t="s">
        <v>107</v>
      </c>
      <c r="Q13" s="51" t="s">
        <v>108</v>
      </c>
      <c r="R13" s="52" t="s">
        <v>108</v>
      </c>
      <c r="T13" s="47">
        <f>M5+N5</f>
        <v>0</v>
      </c>
      <c r="U13" s="48">
        <f>T48</f>
        <v>0</v>
      </c>
      <c r="V13" s="49">
        <f>T13-U13</f>
        <v>0</v>
      </c>
    </row>
    <row r="14" spans="1:22" ht="15" customHeight="1" x14ac:dyDescent="0.25">
      <c r="A14" s="115">
        <v>13</v>
      </c>
      <c r="B14" s="113" t="s">
        <v>188</v>
      </c>
      <c r="C14" s="113" t="s">
        <v>191</v>
      </c>
      <c r="E14" s="50"/>
      <c r="F14" s="43"/>
      <c r="G14" s="43"/>
      <c r="H14" s="43"/>
      <c r="I14" s="43"/>
      <c r="J14" s="43"/>
      <c r="K14" s="43"/>
      <c r="L14" s="43"/>
      <c r="M14" s="43"/>
      <c r="N14" s="43"/>
      <c r="O14" s="43"/>
      <c r="P14" s="43"/>
      <c r="Q14" s="51"/>
      <c r="R14" s="52"/>
      <c r="T14" s="142" t="s">
        <v>109</v>
      </c>
      <c r="U14" s="142"/>
      <c r="V14" s="142"/>
    </row>
    <row r="15" spans="1:22" ht="15" customHeight="1" thickBot="1" x14ac:dyDescent="0.25">
      <c r="A15" s="114">
        <v>14</v>
      </c>
      <c r="B15" s="113" t="s">
        <v>188</v>
      </c>
      <c r="C15" s="113" t="s">
        <v>240</v>
      </c>
      <c r="E15" s="62">
        <v>2</v>
      </c>
      <c r="F15" s="63"/>
      <c r="G15" s="63"/>
      <c r="H15" s="63"/>
      <c r="I15" s="63">
        <v>1</v>
      </c>
      <c r="J15" s="63"/>
      <c r="K15" s="63">
        <v>2</v>
      </c>
      <c r="L15" s="63"/>
      <c r="M15" s="63"/>
      <c r="N15" s="63"/>
      <c r="O15" s="63"/>
      <c r="P15" s="63">
        <v>1</v>
      </c>
      <c r="Q15" s="103"/>
      <c r="R15" s="104"/>
      <c r="T15" s="47" t="s">
        <v>80</v>
      </c>
      <c r="U15" s="48" t="s">
        <v>81</v>
      </c>
      <c r="V15" s="49" t="s">
        <v>7</v>
      </c>
    </row>
    <row r="16" spans="1:22" ht="15" customHeight="1" thickTop="1" x14ac:dyDescent="0.2">
      <c r="A16" s="114">
        <v>15</v>
      </c>
      <c r="B16" s="113" t="s">
        <v>188</v>
      </c>
      <c r="C16" s="113" t="s">
        <v>243</v>
      </c>
      <c r="T16" s="47">
        <f>E8+F8+G8+H8+I8+J8+K8+L8+M8+N8</f>
        <v>69</v>
      </c>
      <c r="U16" s="48">
        <f>SUM(F43:S47)</f>
        <v>33</v>
      </c>
      <c r="V16" s="49">
        <f>T16-U16</f>
        <v>36</v>
      </c>
    </row>
    <row r="17" spans="1:22" ht="15" customHeight="1" thickBot="1" x14ac:dyDescent="0.3">
      <c r="A17" s="115">
        <v>16</v>
      </c>
      <c r="B17" s="113" t="s">
        <v>150</v>
      </c>
      <c r="C17" s="113" t="s">
        <v>192</v>
      </c>
      <c r="T17" s="142" t="s">
        <v>110</v>
      </c>
      <c r="U17" s="142"/>
      <c r="V17" s="142"/>
    </row>
    <row r="18" spans="1:22" ht="15" customHeight="1" thickTop="1" thickBot="1" x14ac:dyDescent="0.25">
      <c r="A18" s="114">
        <v>17</v>
      </c>
      <c r="B18" s="113" t="s">
        <v>150</v>
      </c>
      <c r="C18" s="113" t="s">
        <v>193</v>
      </c>
      <c r="E18" s="146" t="s">
        <v>111</v>
      </c>
      <c r="F18" s="147">
        <f>T6+T9+T13+T16+T19+T22+T3</f>
        <v>137</v>
      </c>
      <c r="G18" s="148"/>
      <c r="H18" s="148"/>
      <c r="I18" s="146" t="s">
        <v>7</v>
      </c>
      <c r="J18" s="147">
        <f>V24</f>
        <v>73</v>
      </c>
      <c r="K18" s="147"/>
      <c r="L18" s="147"/>
      <c r="M18" s="147" t="s">
        <v>81</v>
      </c>
      <c r="N18" s="148">
        <f>F18-J18</f>
        <v>64</v>
      </c>
      <c r="T18" s="47" t="s">
        <v>80</v>
      </c>
      <c r="U18" s="48" t="s">
        <v>81</v>
      </c>
      <c r="V18" s="49" t="s">
        <v>7</v>
      </c>
    </row>
    <row r="19" spans="1:22" ht="15" customHeight="1" thickTop="1" thickBot="1" x14ac:dyDescent="0.25">
      <c r="A19" s="114">
        <v>18</v>
      </c>
      <c r="B19" s="113" t="s">
        <v>150</v>
      </c>
      <c r="C19" s="113" t="s">
        <v>241</v>
      </c>
      <c r="E19" s="146"/>
      <c r="F19" s="147"/>
      <c r="G19" s="147"/>
      <c r="H19" s="148"/>
      <c r="I19" s="146"/>
      <c r="J19" s="147"/>
      <c r="K19" s="147"/>
      <c r="L19" s="147"/>
      <c r="M19" s="147"/>
      <c r="N19" s="148"/>
      <c r="T19" s="47">
        <f>O8+P8+Q8+R8+E12+F12+G12+H12+I12+J12+K12+L12+M12+N12+O12+P12+Q12+R12+E15+F15</f>
        <v>20</v>
      </c>
      <c r="U19" s="48">
        <f>SUM(T33:T42)</f>
        <v>12</v>
      </c>
      <c r="V19" s="49">
        <f>T19-U19</f>
        <v>8</v>
      </c>
    </row>
    <row r="20" spans="1:22" ht="15" customHeight="1" thickTop="1" x14ac:dyDescent="0.25">
      <c r="A20" s="115">
        <v>19</v>
      </c>
      <c r="B20" s="113" t="s">
        <v>150</v>
      </c>
      <c r="C20" s="113" t="s">
        <v>242</v>
      </c>
      <c r="T20" s="142" t="s">
        <v>112</v>
      </c>
      <c r="U20" s="142"/>
      <c r="V20" s="142"/>
    </row>
    <row r="21" spans="1:22" ht="15" customHeight="1" x14ac:dyDescent="0.2">
      <c r="A21" s="114">
        <v>20</v>
      </c>
      <c r="B21" s="113" t="s">
        <v>156</v>
      </c>
      <c r="C21" s="113" t="s">
        <v>151</v>
      </c>
      <c r="T21" s="47" t="s">
        <v>80</v>
      </c>
      <c r="U21" s="48" t="s">
        <v>81</v>
      </c>
      <c r="V21" s="49" t="s">
        <v>7</v>
      </c>
    </row>
    <row r="22" spans="1:22" ht="15" customHeight="1" thickBot="1" x14ac:dyDescent="0.25">
      <c r="A22" s="114">
        <v>21</v>
      </c>
      <c r="B22" s="113" t="s">
        <v>156</v>
      </c>
      <c r="C22" s="113" t="s">
        <v>195</v>
      </c>
      <c r="T22" s="47">
        <f>H15+G15+I15+J15+K15+L15+M15+N15+O15+P15+Q15+R15</f>
        <v>4</v>
      </c>
      <c r="U22" s="48">
        <f>SUM(T27:T32)</f>
        <v>2</v>
      </c>
      <c r="V22" s="49">
        <f>T22-U22</f>
        <v>2</v>
      </c>
    </row>
    <row r="23" spans="1:22" ht="15" customHeight="1" thickTop="1" thickBot="1" x14ac:dyDescent="0.3">
      <c r="A23" s="115">
        <v>22</v>
      </c>
      <c r="B23" s="113" t="s">
        <v>156</v>
      </c>
      <c r="C23" s="113" t="s">
        <v>194</v>
      </c>
      <c r="E23" s="136" t="s">
        <v>113</v>
      </c>
      <c r="F23" s="136"/>
      <c r="G23" s="136"/>
      <c r="H23" s="143">
        <v>46047</v>
      </c>
      <c r="I23" s="143"/>
      <c r="T23" s="64"/>
      <c r="U23" s="65"/>
      <c r="V23" s="66"/>
    </row>
    <row r="24" spans="1:22" ht="15" customHeight="1" thickTop="1" thickBot="1" x14ac:dyDescent="0.3">
      <c r="A24" s="114">
        <v>23</v>
      </c>
      <c r="B24" s="113" t="s">
        <v>156</v>
      </c>
      <c r="C24" s="113" t="s">
        <v>244</v>
      </c>
      <c r="E24" s="136"/>
      <c r="F24" s="136"/>
      <c r="G24" s="136"/>
      <c r="H24" s="143"/>
      <c r="I24" s="143"/>
      <c r="T24" s="144" t="s">
        <v>8</v>
      </c>
      <c r="U24" s="145"/>
      <c r="V24" s="67">
        <f>SUM(V3:V22)</f>
        <v>73</v>
      </c>
    </row>
    <row r="25" spans="1:22" ht="15" customHeight="1" thickTop="1" thickBot="1" x14ac:dyDescent="0.25">
      <c r="A25" s="114">
        <v>24</v>
      </c>
      <c r="B25" s="113" t="s">
        <v>234</v>
      </c>
      <c r="C25" s="113" t="s">
        <v>235</v>
      </c>
      <c r="E25" s="139" t="s">
        <v>114</v>
      </c>
      <c r="F25" s="139" t="s">
        <v>115</v>
      </c>
      <c r="G25" s="139" t="s">
        <v>116</v>
      </c>
      <c r="H25" s="139" t="s">
        <v>117</v>
      </c>
      <c r="I25" s="141" t="s">
        <v>118</v>
      </c>
      <c r="J25" s="135" t="s">
        <v>119</v>
      </c>
      <c r="K25" s="136" t="s">
        <v>120</v>
      </c>
      <c r="L25" s="136" t="s">
        <v>121</v>
      </c>
      <c r="M25" s="136" t="s">
        <v>122</v>
      </c>
      <c r="N25" s="136" t="s">
        <v>123</v>
      </c>
      <c r="O25" s="136" t="s">
        <v>124</v>
      </c>
      <c r="P25" s="136" t="s">
        <v>125</v>
      </c>
      <c r="Q25" s="134" t="s">
        <v>126</v>
      </c>
      <c r="R25" s="134" t="s">
        <v>161</v>
      </c>
      <c r="S25" s="135" t="s">
        <v>127</v>
      </c>
      <c r="T25" s="136" t="s">
        <v>8</v>
      </c>
      <c r="U25" s="137" t="s">
        <v>128</v>
      </c>
      <c r="V25" s="138"/>
    </row>
    <row r="26" spans="1:22" ht="15" customHeight="1" thickTop="1" thickBot="1" x14ac:dyDescent="0.3">
      <c r="A26" s="115">
        <v>25</v>
      </c>
      <c r="B26" s="113" t="s">
        <v>165</v>
      </c>
      <c r="C26" s="113" t="s">
        <v>158</v>
      </c>
      <c r="E26" s="140"/>
      <c r="F26" s="139"/>
      <c r="G26" s="139"/>
      <c r="H26" s="139"/>
      <c r="I26" s="139"/>
      <c r="J26" s="135"/>
      <c r="K26" s="136"/>
      <c r="L26" s="136"/>
      <c r="M26" s="136"/>
      <c r="N26" s="136"/>
      <c r="O26" s="136"/>
      <c r="P26" s="136"/>
      <c r="Q26" s="134"/>
      <c r="R26" s="134"/>
      <c r="S26" s="134"/>
      <c r="T26" s="136"/>
      <c r="U26" s="137"/>
      <c r="V26" s="138"/>
    </row>
    <row r="27" spans="1:22" ht="15" customHeight="1" thickTop="1" x14ac:dyDescent="0.25">
      <c r="A27" s="114">
        <v>26</v>
      </c>
      <c r="B27" s="113" t="s">
        <v>165</v>
      </c>
      <c r="C27" s="113" t="s">
        <v>196</v>
      </c>
      <c r="E27" s="95" t="s">
        <v>108</v>
      </c>
      <c r="F27" s="91"/>
      <c r="G27" s="80"/>
      <c r="H27" s="80"/>
      <c r="I27" s="80"/>
      <c r="J27" s="80"/>
      <c r="K27" s="80"/>
      <c r="L27" s="80"/>
      <c r="M27" s="80"/>
      <c r="N27" s="80"/>
      <c r="O27" s="80"/>
      <c r="P27" s="80"/>
      <c r="Q27" s="80"/>
      <c r="R27" s="80"/>
      <c r="S27" s="80"/>
      <c r="T27" s="68">
        <f t="shared" ref="T27:T52" si="0">SUM(F27:S27)</f>
        <v>0</v>
      </c>
      <c r="U27" s="69"/>
    </row>
    <row r="28" spans="1:22" ht="15" customHeight="1" x14ac:dyDescent="0.25">
      <c r="A28" s="114">
        <v>27</v>
      </c>
      <c r="B28" s="113" t="s">
        <v>165</v>
      </c>
      <c r="C28" s="113" t="s">
        <v>197</v>
      </c>
      <c r="E28" s="96" t="s">
        <v>129</v>
      </c>
      <c r="F28" s="92"/>
      <c r="G28" s="81"/>
      <c r="H28" s="81">
        <v>1</v>
      </c>
      <c r="I28" s="81"/>
      <c r="J28" s="81"/>
      <c r="K28" s="81"/>
      <c r="L28" s="81"/>
      <c r="M28" s="81"/>
      <c r="N28" s="81"/>
      <c r="O28" s="81"/>
      <c r="P28" s="81"/>
      <c r="Q28" s="81"/>
      <c r="R28" s="81"/>
      <c r="S28" s="81"/>
      <c r="T28" s="70">
        <f t="shared" si="0"/>
        <v>1</v>
      </c>
      <c r="U28" s="85"/>
    </row>
    <row r="29" spans="1:22" ht="15" customHeight="1" x14ac:dyDescent="0.25">
      <c r="A29" s="115">
        <v>28</v>
      </c>
      <c r="B29" s="113" t="s">
        <v>165</v>
      </c>
      <c r="C29" s="113" t="s">
        <v>198</v>
      </c>
      <c r="E29" s="96" t="s">
        <v>106</v>
      </c>
      <c r="F29" s="92"/>
      <c r="G29" s="81"/>
      <c r="H29" s="81"/>
      <c r="I29" s="81"/>
      <c r="J29" s="87"/>
      <c r="K29" s="81"/>
      <c r="L29" s="81"/>
      <c r="M29" s="81"/>
      <c r="N29" s="81"/>
      <c r="O29" s="81"/>
      <c r="P29" s="81"/>
      <c r="Q29" s="81"/>
      <c r="R29" s="81"/>
      <c r="S29" s="81"/>
      <c r="T29" s="70">
        <f t="shared" si="0"/>
        <v>0</v>
      </c>
      <c r="U29" s="69"/>
    </row>
    <row r="30" spans="1:22" ht="15" customHeight="1" x14ac:dyDescent="0.25">
      <c r="A30" s="114">
        <v>29</v>
      </c>
      <c r="B30" s="113" t="s">
        <v>165</v>
      </c>
      <c r="C30" s="113" t="s">
        <v>199</v>
      </c>
      <c r="E30" s="97" t="s">
        <v>130</v>
      </c>
      <c r="F30" s="92"/>
      <c r="G30" s="81">
        <v>1</v>
      </c>
      <c r="H30" s="81"/>
      <c r="I30" s="81"/>
      <c r="J30" s="81"/>
      <c r="K30" s="81"/>
      <c r="L30" s="81"/>
      <c r="M30" s="81"/>
      <c r="N30" s="81"/>
      <c r="O30" s="81"/>
      <c r="P30" s="81"/>
      <c r="Q30" s="81"/>
      <c r="R30" s="81"/>
      <c r="S30" s="81"/>
      <c r="T30" s="70">
        <f t="shared" si="0"/>
        <v>1</v>
      </c>
      <c r="U30" s="69"/>
    </row>
    <row r="31" spans="1:22" ht="15" customHeight="1" x14ac:dyDescent="0.25">
      <c r="A31" s="114">
        <v>30</v>
      </c>
      <c r="B31" s="113" t="s">
        <v>165</v>
      </c>
      <c r="C31" s="113" t="s">
        <v>178</v>
      </c>
      <c r="E31" s="97" t="s">
        <v>104</v>
      </c>
      <c r="F31" s="92"/>
      <c r="G31" s="81"/>
      <c r="H31" s="92"/>
      <c r="I31" s="81"/>
      <c r="J31" s="87"/>
      <c r="K31" s="81"/>
      <c r="L31" s="81"/>
      <c r="M31" s="81"/>
      <c r="N31" s="81"/>
      <c r="O31" s="81"/>
      <c r="P31" s="81"/>
      <c r="Q31" s="81"/>
      <c r="R31" s="81"/>
      <c r="S31" s="81"/>
      <c r="T31" s="70">
        <f t="shared" si="0"/>
        <v>0</v>
      </c>
      <c r="U31" s="69"/>
    </row>
    <row r="32" spans="1:22" ht="15" customHeight="1" x14ac:dyDescent="0.25">
      <c r="A32" s="115">
        <v>31</v>
      </c>
      <c r="B32" s="113" t="s">
        <v>165</v>
      </c>
      <c r="C32" s="113" t="s">
        <v>200</v>
      </c>
      <c r="E32" s="97" t="s">
        <v>103</v>
      </c>
      <c r="F32" s="92"/>
      <c r="G32" s="81"/>
      <c r="H32" s="81"/>
      <c r="I32" s="81"/>
      <c r="J32" s="87"/>
      <c r="K32" s="81"/>
      <c r="L32" s="81"/>
      <c r="M32" s="79"/>
      <c r="N32" s="81"/>
      <c r="O32" s="81"/>
      <c r="P32" s="81"/>
      <c r="Q32" s="81"/>
      <c r="R32" s="81"/>
      <c r="S32" s="81"/>
      <c r="T32" s="70">
        <f t="shared" si="0"/>
        <v>0</v>
      </c>
      <c r="U32" s="69"/>
    </row>
    <row r="33" spans="1:36" ht="15" customHeight="1" x14ac:dyDescent="0.25">
      <c r="A33" s="114">
        <v>32</v>
      </c>
      <c r="B33" s="113" t="s">
        <v>165</v>
      </c>
      <c r="C33" s="113" t="s">
        <v>245</v>
      </c>
      <c r="E33" s="97" t="s">
        <v>101</v>
      </c>
      <c r="F33" s="92"/>
      <c r="G33" s="81"/>
      <c r="H33" s="81"/>
      <c r="I33" s="81"/>
      <c r="J33" s="81"/>
      <c r="K33" s="81"/>
      <c r="L33" s="88"/>
      <c r="M33" s="81"/>
      <c r="N33" s="81"/>
      <c r="O33" s="81"/>
      <c r="P33" s="81"/>
      <c r="Q33" s="81"/>
      <c r="R33" s="81"/>
      <c r="S33" s="81"/>
      <c r="T33" s="70">
        <f t="shared" si="0"/>
        <v>0</v>
      </c>
      <c r="U33" s="69"/>
    </row>
    <row r="34" spans="1:36" ht="15" customHeight="1" x14ac:dyDescent="0.25">
      <c r="A34" s="114">
        <v>33</v>
      </c>
      <c r="B34" s="113" t="s">
        <v>165</v>
      </c>
      <c r="C34" s="113" t="s">
        <v>246</v>
      </c>
      <c r="E34" s="97" t="s">
        <v>99</v>
      </c>
      <c r="F34" s="92"/>
      <c r="G34" s="81"/>
      <c r="H34" s="81"/>
      <c r="I34" s="81"/>
      <c r="J34" s="81"/>
      <c r="K34" s="81"/>
      <c r="L34" s="88"/>
      <c r="M34" s="81"/>
      <c r="N34" s="81"/>
      <c r="O34" s="81"/>
      <c r="P34" s="81"/>
      <c r="Q34" s="81"/>
      <c r="R34" s="81"/>
      <c r="S34" s="81"/>
      <c r="T34" s="70">
        <f t="shared" si="0"/>
        <v>0</v>
      </c>
      <c r="U34" s="69"/>
    </row>
    <row r="35" spans="1:36" ht="15" customHeight="1" x14ac:dyDescent="0.25">
      <c r="A35" s="115">
        <v>34</v>
      </c>
      <c r="B35" s="113" t="s">
        <v>165</v>
      </c>
      <c r="C35" s="113" t="s">
        <v>247</v>
      </c>
      <c r="E35" s="97" t="s">
        <v>98</v>
      </c>
      <c r="F35" s="93"/>
      <c r="G35" s="81"/>
      <c r="H35" s="81"/>
      <c r="I35" s="81"/>
      <c r="J35" s="81"/>
      <c r="K35" s="81"/>
      <c r="L35" s="88"/>
      <c r="M35" s="81"/>
      <c r="N35" s="81"/>
      <c r="O35" s="81"/>
      <c r="P35" s="81"/>
      <c r="Q35" s="81"/>
      <c r="R35" s="81"/>
      <c r="S35" s="81"/>
      <c r="T35" s="70">
        <f t="shared" si="0"/>
        <v>0</v>
      </c>
      <c r="U35" s="69"/>
    </row>
    <row r="36" spans="1:36" ht="15" customHeight="1" x14ac:dyDescent="0.25">
      <c r="A36" s="114">
        <v>35</v>
      </c>
      <c r="B36" s="113" t="s">
        <v>165</v>
      </c>
      <c r="C36" s="113" t="s">
        <v>248</v>
      </c>
      <c r="E36" s="97" t="s">
        <v>97</v>
      </c>
      <c r="F36" s="92"/>
      <c r="G36" s="81"/>
      <c r="H36" s="81"/>
      <c r="I36" s="81"/>
      <c r="J36" s="81"/>
      <c r="K36" s="81"/>
      <c r="L36" s="88"/>
      <c r="M36" s="81"/>
      <c r="N36" s="81"/>
      <c r="O36" s="81"/>
      <c r="P36" s="81"/>
      <c r="Q36" s="81"/>
      <c r="R36" s="81"/>
      <c r="S36" s="81"/>
      <c r="T36" s="70">
        <f t="shared" si="0"/>
        <v>0</v>
      </c>
      <c r="U36" s="69"/>
    </row>
    <row r="37" spans="1:36" ht="15" customHeight="1" x14ac:dyDescent="0.25">
      <c r="A37" s="114">
        <v>36</v>
      </c>
      <c r="B37" s="113" t="s">
        <v>165</v>
      </c>
      <c r="C37" s="113" t="s">
        <v>249</v>
      </c>
      <c r="E37" s="97" t="s">
        <v>96</v>
      </c>
      <c r="F37" s="92"/>
      <c r="G37" s="81">
        <v>1</v>
      </c>
      <c r="H37" s="81"/>
      <c r="I37" s="81"/>
      <c r="J37" s="81"/>
      <c r="K37" s="81"/>
      <c r="L37" s="88"/>
      <c r="M37" s="81"/>
      <c r="N37" s="81"/>
      <c r="O37" s="81"/>
      <c r="P37" s="81"/>
      <c r="Q37" s="81"/>
      <c r="R37" s="81"/>
      <c r="S37" s="81"/>
      <c r="T37" s="70">
        <f t="shared" si="0"/>
        <v>1</v>
      </c>
      <c r="U37" s="69"/>
    </row>
    <row r="38" spans="1:36" ht="15" customHeight="1" x14ac:dyDescent="0.25">
      <c r="A38" s="115">
        <v>37</v>
      </c>
      <c r="B38" s="113" t="s">
        <v>165</v>
      </c>
      <c r="C38" s="113" t="s">
        <v>250</v>
      </c>
      <c r="E38" s="98" t="s">
        <v>95</v>
      </c>
      <c r="F38" s="92"/>
      <c r="G38" s="81"/>
      <c r="H38" s="81"/>
      <c r="I38" s="81"/>
      <c r="J38" s="81"/>
      <c r="K38" s="81"/>
      <c r="L38" s="81"/>
      <c r="M38" s="81"/>
      <c r="N38" s="81"/>
      <c r="O38" s="81"/>
      <c r="P38" s="81"/>
      <c r="Q38" s="90"/>
      <c r="R38" s="81"/>
      <c r="S38" s="81"/>
      <c r="T38" s="70">
        <f t="shared" si="0"/>
        <v>0</v>
      </c>
      <c r="U38" s="69"/>
    </row>
    <row r="39" spans="1:36" ht="15" customHeight="1" x14ac:dyDescent="0.25">
      <c r="A39" s="114">
        <v>38</v>
      </c>
      <c r="B39" s="113" t="s">
        <v>165</v>
      </c>
      <c r="C39" s="113" t="s">
        <v>315</v>
      </c>
      <c r="E39" s="98" t="s">
        <v>170</v>
      </c>
      <c r="F39" s="92"/>
      <c r="G39" s="81">
        <v>1</v>
      </c>
      <c r="H39" s="81"/>
      <c r="I39" s="81"/>
      <c r="J39" s="81"/>
      <c r="K39" s="81"/>
      <c r="L39" s="81"/>
      <c r="M39" s="81"/>
      <c r="N39" s="81"/>
      <c r="O39" s="81"/>
      <c r="P39" s="81"/>
      <c r="Q39" s="81"/>
      <c r="R39" s="81"/>
      <c r="S39" s="81"/>
      <c r="T39" s="70">
        <f t="shared" si="0"/>
        <v>1</v>
      </c>
      <c r="U39" s="69"/>
    </row>
    <row r="40" spans="1:36" ht="15" customHeight="1" x14ac:dyDescent="0.25">
      <c r="A40" s="114">
        <v>39</v>
      </c>
      <c r="B40" s="113" t="s">
        <v>166</v>
      </c>
      <c r="C40" s="113" t="s">
        <v>157</v>
      </c>
      <c r="E40" s="98" t="s">
        <v>131</v>
      </c>
      <c r="F40" s="92"/>
      <c r="G40" s="81">
        <v>2</v>
      </c>
      <c r="H40" s="81">
        <v>1</v>
      </c>
      <c r="I40" s="81"/>
      <c r="J40" s="81"/>
      <c r="K40" s="81"/>
      <c r="L40" s="81"/>
      <c r="M40" s="81"/>
      <c r="N40" s="81"/>
      <c r="O40" s="81"/>
      <c r="P40" s="81"/>
      <c r="Q40" s="81"/>
      <c r="R40" s="81"/>
      <c r="S40" s="81"/>
      <c r="T40" s="70">
        <f t="shared" si="0"/>
        <v>3</v>
      </c>
      <c r="U40" s="69"/>
    </row>
    <row r="41" spans="1:36" ht="15" customHeight="1" x14ac:dyDescent="0.25">
      <c r="A41" s="115">
        <v>40</v>
      </c>
      <c r="B41" s="113" t="s">
        <v>166</v>
      </c>
      <c r="C41" s="113" t="s">
        <v>236</v>
      </c>
      <c r="E41" s="98" t="s">
        <v>132</v>
      </c>
      <c r="F41" s="92"/>
      <c r="G41" s="81">
        <v>5</v>
      </c>
      <c r="H41" s="81">
        <v>1</v>
      </c>
      <c r="I41" s="81"/>
      <c r="J41" s="81"/>
      <c r="K41" s="81"/>
      <c r="L41" s="81"/>
      <c r="M41" s="81"/>
      <c r="N41" s="81"/>
      <c r="O41" s="81"/>
      <c r="P41" s="81"/>
      <c r="Q41" s="81"/>
      <c r="R41" s="81"/>
      <c r="S41" s="81"/>
      <c r="T41" s="70">
        <f t="shared" si="0"/>
        <v>6</v>
      </c>
      <c r="U41" s="69"/>
    </row>
    <row r="42" spans="1:36" ht="15" customHeight="1" x14ac:dyDescent="0.25">
      <c r="A42" s="114">
        <v>41</v>
      </c>
      <c r="B42" s="113" t="s">
        <v>166</v>
      </c>
      <c r="C42" s="113" t="s">
        <v>160</v>
      </c>
      <c r="E42" s="98" t="s">
        <v>133</v>
      </c>
      <c r="F42" s="92"/>
      <c r="G42" s="81">
        <v>1</v>
      </c>
      <c r="H42" s="81"/>
      <c r="I42" s="81"/>
      <c r="J42" s="81"/>
      <c r="K42" s="81"/>
      <c r="L42" s="81"/>
      <c r="M42" s="81"/>
      <c r="N42" s="81"/>
      <c r="O42" s="81"/>
      <c r="P42" s="81"/>
      <c r="Q42" s="81"/>
      <c r="R42" s="81"/>
      <c r="S42" s="81"/>
      <c r="T42" s="70">
        <f t="shared" si="0"/>
        <v>1</v>
      </c>
      <c r="U42" s="69"/>
    </row>
    <row r="43" spans="1:36" ht="15" customHeight="1" x14ac:dyDescent="0.25">
      <c r="A43" s="114">
        <v>42</v>
      </c>
      <c r="B43" s="113" t="s">
        <v>166</v>
      </c>
      <c r="C43" s="113" t="s">
        <v>201</v>
      </c>
      <c r="E43" s="98" t="s">
        <v>171</v>
      </c>
      <c r="F43" s="92"/>
      <c r="G43" s="81">
        <v>1</v>
      </c>
      <c r="H43" s="81">
        <v>4</v>
      </c>
      <c r="I43" s="81"/>
      <c r="J43" s="81"/>
      <c r="K43" s="81"/>
      <c r="L43" s="87"/>
      <c r="M43" s="81"/>
      <c r="N43" s="81"/>
      <c r="O43" s="81"/>
      <c r="P43" s="81">
        <v>1</v>
      </c>
      <c r="Q43" s="81"/>
      <c r="R43" s="81"/>
      <c r="S43" s="81"/>
      <c r="T43" s="70">
        <f t="shared" si="0"/>
        <v>6</v>
      </c>
      <c r="U43" s="69"/>
    </row>
    <row r="44" spans="1:36" ht="15" customHeight="1" x14ac:dyDescent="0.25">
      <c r="A44" s="115">
        <v>43</v>
      </c>
      <c r="B44" s="113" t="s">
        <v>166</v>
      </c>
      <c r="C44" s="113" t="s">
        <v>152</v>
      </c>
      <c r="E44" s="98" t="s">
        <v>172</v>
      </c>
      <c r="F44" s="92"/>
      <c r="G44" s="81">
        <v>2</v>
      </c>
      <c r="H44" s="81">
        <v>2</v>
      </c>
      <c r="I44" s="81">
        <v>1</v>
      </c>
      <c r="J44" s="81"/>
      <c r="K44" s="81"/>
      <c r="L44" s="87"/>
      <c r="M44" s="81"/>
      <c r="N44" s="81"/>
      <c r="O44" s="81"/>
      <c r="P44" s="81"/>
      <c r="Q44" s="81"/>
      <c r="R44" s="81"/>
      <c r="S44" s="81"/>
      <c r="T44" s="70">
        <f t="shared" si="0"/>
        <v>5</v>
      </c>
      <c r="U44" s="69"/>
    </row>
    <row r="45" spans="1:36" ht="14.25" customHeight="1" x14ac:dyDescent="0.25">
      <c r="A45" s="114">
        <v>44</v>
      </c>
      <c r="B45" s="113" t="s">
        <v>166</v>
      </c>
      <c r="C45" s="113" t="s">
        <v>227</v>
      </c>
      <c r="E45" s="98" t="s">
        <v>173</v>
      </c>
      <c r="F45" s="92"/>
      <c r="G45" s="81">
        <v>3</v>
      </c>
      <c r="H45" s="89">
        <v>3</v>
      </c>
      <c r="I45" s="81"/>
      <c r="J45" s="81"/>
      <c r="K45" s="81"/>
      <c r="L45" s="81"/>
      <c r="M45" s="81"/>
      <c r="N45" s="81"/>
      <c r="O45" s="81"/>
      <c r="P45" s="81"/>
      <c r="Q45" s="81"/>
      <c r="R45" s="81"/>
      <c r="S45" s="81"/>
      <c r="T45" s="70">
        <f t="shared" si="0"/>
        <v>6</v>
      </c>
      <c r="U45" s="69"/>
    </row>
    <row r="46" spans="1:36" ht="15" customHeight="1" x14ac:dyDescent="0.3">
      <c r="A46" s="114">
        <v>45</v>
      </c>
      <c r="B46" s="113" t="s">
        <v>166</v>
      </c>
      <c r="C46" s="113" t="s">
        <v>251</v>
      </c>
      <c r="E46" s="98" t="s">
        <v>174</v>
      </c>
      <c r="F46" s="92"/>
      <c r="G46" s="81">
        <v>1</v>
      </c>
      <c r="H46" s="81">
        <v>2</v>
      </c>
      <c r="I46" s="81">
        <v>2</v>
      </c>
      <c r="J46" s="81"/>
      <c r="K46" s="81"/>
      <c r="L46" s="81"/>
      <c r="M46" s="81"/>
      <c r="N46" s="81"/>
      <c r="O46" s="81"/>
      <c r="P46" s="81"/>
      <c r="Q46" s="81"/>
      <c r="R46" s="81">
        <v>1</v>
      </c>
      <c r="S46" s="81"/>
      <c r="T46" s="70">
        <f t="shared" si="0"/>
        <v>6</v>
      </c>
      <c r="U46" s="69"/>
      <c r="AJ46" s="71"/>
    </row>
    <row r="47" spans="1:36" ht="15" customHeight="1" x14ac:dyDescent="0.3">
      <c r="A47" s="115">
        <v>46</v>
      </c>
      <c r="B47" s="113" t="s">
        <v>166</v>
      </c>
      <c r="C47" s="113" t="s">
        <v>252</v>
      </c>
      <c r="E47" s="98" t="s">
        <v>175</v>
      </c>
      <c r="F47" s="92"/>
      <c r="G47" s="81">
        <v>8</v>
      </c>
      <c r="H47" s="81"/>
      <c r="I47" s="81">
        <v>2</v>
      </c>
      <c r="J47" s="81"/>
      <c r="K47" s="81"/>
      <c r="L47" s="88"/>
      <c r="M47" s="81"/>
      <c r="N47" s="81"/>
      <c r="O47" s="81"/>
      <c r="P47" s="81"/>
      <c r="Q47" s="81"/>
      <c r="R47" s="81"/>
      <c r="S47" s="81"/>
      <c r="T47" s="70">
        <f t="shared" si="0"/>
        <v>10</v>
      </c>
      <c r="U47" s="69"/>
      <c r="AJ47" s="71"/>
    </row>
    <row r="48" spans="1:36" ht="14.25" customHeight="1" x14ac:dyDescent="0.25">
      <c r="A48" s="114">
        <v>47</v>
      </c>
      <c r="B48" s="113" t="s">
        <v>166</v>
      </c>
      <c r="C48" s="113" t="s">
        <v>253</v>
      </c>
      <c r="E48" s="99" t="s">
        <v>89</v>
      </c>
      <c r="G48" s="81"/>
      <c r="H48" s="81"/>
      <c r="I48" s="81"/>
      <c r="J48" s="81"/>
      <c r="K48" s="81"/>
      <c r="L48" s="81"/>
      <c r="M48" s="81"/>
      <c r="N48" s="81"/>
      <c r="O48" s="81"/>
      <c r="P48" s="81"/>
      <c r="Q48" s="81"/>
      <c r="R48" s="81"/>
      <c r="S48" s="81"/>
      <c r="T48" s="70">
        <f t="shared" si="0"/>
        <v>0</v>
      </c>
      <c r="U48" s="69"/>
    </row>
    <row r="49" spans="1:34" ht="15" customHeight="1" x14ac:dyDescent="0.25">
      <c r="A49" s="114">
        <v>48</v>
      </c>
      <c r="B49" s="113" t="s">
        <v>166</v>
      </c>
      <c r="C49" s="113" t="s">
        <v>254</v>
      </c>
      <c r="E49" s="99" t="s">
        <v>134</v>
      </c>
      <c r="F49" s="92"/>
      <c r="G49" s="81">
        <v>3</v>
      </c>
      <c r="H49" s="81"/>
      <c r="I49" s="81">
        <v>5</v>
      </c>
      <c r="J49" s="81"/>
      <c r="K49" s="81"/>
      <c r="L49" s="81"/>
      <c r="M49" s="81"/>
      <c r="N49" s="81"/>
      <c r="O49" s="81"/>
      <c r="P49" s="81"/>
      <c r="Q49" s="81"/>
      <c r="R49" s="81"/>
      <c r="S49" s="81"/>
      <c r="T49" s="70">
        <f t="shared" si="0"/>
        <v>8</v>
      </c>
      <c r="U49" s="69"/>
    </row>
    <row r="50" spans="1:34" ht="15" customHeight="1" x14ac:dyDescent="0.25">
      <c r="A50" s="115">
        <v>49</v>
      </c>
      <c r="B50" s="113" t="s">
        <v>166</v>
      </c>
      <c r="C50" s="113" t="s">
        <v>255</v>
      </c>
      <c r="E50" s="99" t="s">
        <v>135</v>
      </c>
      <c r="F50" s="92"/>
      <c r="G50" s="81"/>
      <c r="H50" s="81"/>
      <c r="I50" s="81">
        <v>1</v>
      </c>
      <c r="J50" s="81"/>
      <c r="K50" s="81"/>
      <c r="L50" s="81"/>
      <c r="M50" s="81"/>
      <c r="N50" s="81"/>
      <c r="O50" s="81"/>
      <c r="P50" s="81"/>
      <c r="Q50" s="81"/>
      <c r="R50" s="81"/>
      <c r="S50" s="81">
        <v>2</v>
      </c>
      <c r="T50" s="70">
        <f>SUM(F50:S50)</f>
        <v>3</v>
      </c>
      <c r="U50" s="69"/>
    </row>
    <row r="51" spans="1:34" ht="15" customHeight="1" x14ac:dyDescent="0.25">
      <c r="A51" s="114">
        <v>50</v>
      </c>
      <c r="B51" s="113" t="s">
        <v>166</v>
      </c>
      <c r="C51" s="113" t="s">
        <v>256</v>
      </c>
      <c r="E51" s="99" t="s">
        <v>136</v>
      </c>
      <c r="F51" s="92"/>
      <c r="G51" s="81">
        <v>4</v>
      </c>
      <c r="H51" s="81">
        <v>2</v>
      </c>
      <c r="I51" s="81"/>
      <c r="J51" s="81"/>
      <c r="K51" s="81"/>
      <c r="L51" s="81"/>
      <c r="M51" s="81"/>
      <c r="N51" s="81"/>
      <c r="O51" s="81"/>
      <c r="P51" s="81"/>
      <c r="Q51" s="81"/>
      <c r="R51" s="81"/>
      <c r="S51" s="81"/>
      <c r="T51" s="70">
        <f t="shared" si="0"/>
        <v>6</v>
      </c>
      <c r="U51" s="69"/>
    </row>
    <row r="52" spans="1:34" ht="15" customHeight="1" thickBot="1" x14ac:dyDescent="0.3">
      <c r="A52" s="114">
        <v>51</v>
      </c>
      <c r="B52" s="113" t="s">
        <v>166</v>
      </c>
      <c r="C52" s="113" t="s">
        <v>257</v>
      </c>
      <c r="E52" s="100" t="s">
        <v>51</v>
      </c>
      <c r="F52" s="91"/>
      <c r="G52" s="80"/>
      <c r="H52" s="80"/>
      <c r="I52" s="80"/>
      <c r="J52" s="80"/>
      <c r="K52" s="80"/>
      <c r="L52" s="80"/>
      <c r="M52" s="80"/>
      <c r="N52" s="80"/>
      <c r="O52" s="80"/>
      <c r="P52" s="80"/>
      <c r="Q52" s="80"/>
      <c r="R52" s="80"/>
      <c r="S52" s="80"/>
      <c r="T52" s="72">
        <f t="shared" si="0"/>
        <v>0</v>
      </c>
      <c r="U52" s="73"/>
    </row>
    <row r="53" spans="1:34" ht="15" customHeight="1" thickTop="1" thickBot="1" x14ac:dyDescent="0.3">
      <c r="A53" s="115">
        <v>52</v>
      </c>
      <c r="B53" s="113" t="s">
        <v>167</v>
      </c>
      <c r="C53" s="113" t="s">
        <v>202</v>
      </c>
      <c r="E53" s="94" t="s">
        <v>8</v>
      </c>
      <c r="F53" s="74">
        <f t="shared" ref="F53:U53" si="1">SUM(F27:F52)</f>
        <v>0</v>
      </c>
      <c r="G53" s="74">
        <f t="shared" si="1"/>
        <v>33</v>
      </c>
      <c r="H53" s="74">
        <f t="shared" si="1"/>
        <v>16</v>
      </c>
      <c r="I53" s="74">
        <f t="shared" si="1"/>
        <v>11</v>
      </c>
      <c r="J53" s="74">
        <f t="shared" si="1"/>
        <v>0</v>
      </c>
      <c r="K53" s="74">
        <f t="shared" si="1"/>
        <v>0</v>
      </c>
      <c r="L53" s="74">
        <f t="shared" si="1"/>
        <v>0</v>
      </c>
      <c r="M53" s="74">
        <f t="shared" si="1"/>
        <v>0</v>
      </c>
      <c r="N53" s="74">
        <f t="shared" si="1"/>
        <v>0</v>
      </c>
      <c r="O53" s="74">
        <f t="shared" si="1"/>
        <v>0</v>
      </c>
      <c r="P53" s="74">
        <f t="shared" si="1"/>
        <v>1</v>
      </c>
      <c r="Q53" s="74">
        <f t="shared" si="1"/>
        <v>0</v>
      </c>
      <c r="R53" s="74">
        <f t="shared" si="1"/>
        <v>1</v>
      </c>
      <c r="S53" s="74">
        <f t="shared" si="1"/>
        <v>2</v>
      </c>
      <c r="T53" s="74">
        <f t="shared" si="1"/>
        <v>64</v>
      </c>
      <c r="U53" s="75">
        <f t="shared" si="1"/>
        <v>0</v>
      </c>
    </row>
    <row r="54" spans="1:34" ht="15" customHeight="1" x14ac:dyDescent="0.2">
      <c r="A54" s="114">
        <v>53</v>
      </c>
      <c r="B54" s="113" t="s">
        <v>167</v>
      </c>
      <c r="C54" s="113" t="s">
        <v>203</v>
      </c>
    </row>
    <row r="55" spans="1:34" ht="15" customHeight="1" x14ac:dyDescent="0.2">
      <c r="A55" s="114">
        <v>54</v>
      </c>
      <c r="B55" s="113" t="s">
        <v>167</v>
      </c>
      <c r="C55" s="113" t="s">
        <v>204</v>
      </c>
    </row>
    <row r="56" spans="1:34" ht="15" customHeight="1" thickBot="1" x14ac:dyDescent="0.3">
      <c r="A56" s="115">
        <v>55</v>
      </c>
      <c r="B56" s="113" t="s">
        <v>167</v>
      </c>
      <c r="C56" s="113" t="s">
        <v>153</v>
      </c>
    </row>
    <row r="57" spans="1:34" ht="19.5" customHeight="1" thickBot="1" x14ac:dyDescent="0.4">
      <c r="A57" s="114">
        <v>56</v>
      </c>
      <c r="B57" s="113" t="s">
        <v>167</v>
      </c>
      <c r="C57" s="113" t="s">
        <v>205</v>
      </c>
      <c r="F57" s="130" t="s">
        <v>137</v>
      </c>
      <c r="G57" s="131"/>
      <c r="H57" s="131"/>
      <c r="I57" s="131"/>
      <c r="J57" s="131"/>
      <c r="K57" s="131"/>
      <c r="L57" s="131"/>
      <c r="M57" s="131"/>
      <c r="N57" s="131"/>
      <c r="O57" s="131"/>
      <c r="P57" s="132"/>
      <c r="AH57" s="76"/>
    </row>
    <row r="58" spans="1:34" ht="15" customHeight="1" thickTop="1" x14ac:dyDescent="0.2">
      <c r="A58" s="114">
        <v>57</v>
      </c>
      <c r="B58" s="113" t="s">
        <v>167</v>
      </c>
      <c r="C58" s="113" t="s">
        <v>181</v>
      </c>
      <c r="F58" s="77">
        <v>1</v>
      </c>
      <c r="G58" s="133" t="s">
        <v>138</v>
      </c>
      <c r="H58" s="133"/>
      <c r="I58" s="133"/>
      <c r="J58" s="133"/>
      <c r="K58" s="133"/>
      <c r="L58" s="133"/>
      <c r="M58" s="133"/>
      <c r="N58" s="133"/>
      <c r="O58" s="133"/>
      <c r="P58" s="133"/>
    </row>
    <row r="59" spans="1:34" ht="15" customHeight="1" x14ac:dyDescent="0.25">
      <c r="A59" s="115">
        <v>58</v>
      </c>
      <c r="B59" s="113" t="s">
        <v>167</v>
      </c>
      <c r="C59" s="113" t="s">
        <v>258</v>
      </c>
      <c r="F59" s="78">
        <v>2</v>
      </c>
      <c r="G59" s="129" t="s">
        <v>139</v>
      </c>
      <c r="H59" s="129"/>
      <c r="I59" s="129"/>
      <c r="J59" s="129"/>
      <c r="K59" s="129"/>
      <c r="L59" s="129"/>
      <c r="M59" s="129"/>
      <c r="N59" s="129"/>
      <c r="O59" s="129"/>
      <c r="P59" s="129"/>
    </row>
    <row r="60" spans="1:34" ht="15" customHeight="1" x14ac:dyDescent="0.2">
      <c r="A60" s="114">
        <v>59</v>
      </c>
      <c r="B60" s="113" t="s">
        <v>167</v>
      </c>
      <c r="C60" s="110" t="s">
        <v>259</v>
      </c>
      <c r="F60" s="78">
        <v>3</v>
      </c>
      <c r="G60" s="129" t="s">
        <v>140</v>
      </c>
      <c r="H60" s="129"/>
      <c r="I60" s="129"/>
      <c r="J60" s="129"/>
      <c r="K60" s="129"/>
      <c r="L60" s="129"/>
      <c r="M60" s="129"/>
      <c r="N60" s="129"/>
      <c r="O60" s="129"/>
      <c r="P60" s="129"/>
    </row>
    <row r="61" spans="1:34" ht="15" customHeight="1" x14ac:dyDescent="0.2">
      <c r="A61" s="114">
        <v>60</v>
      </c>
      <c r="B61" s="113" t="s">
        <v>167</v>
      </c>
      <c r="C61" s="113" t="s">
        <v>260</v>
      </c>
      <c r="F61" s="78">
        <v>4</v>
      </c>
      <c r="G61" s="129" t="s">
        <v>141</v>
      </c>
      <c r="H61" s="129"/>
      <c r="I61" s="129"/>
      <c r="J61" s="129"/>
      <c r="K61" s="129"/>
      <c r="L61" s="129"/>
      <c r="M61" s="129"/>
      <c r="N61" s="129"/>
      <c r="O61" s="129"/>
      <c r="P61" s="129"/>
    </row>
    <row r="62" spans="1:34" ht="15" customHeight="1" x14ac:dyDescent="0.25">
      <c r="A62" s="115">
        <v>61</v>
      </c>
      <c r="B62" s="113" t="s">
        <v>167</v>
      </c>
      <c r="C62" s="113" t="s">
        <v>261</v>
      </c>
      <c r="F62" s="78">
        <v>5</v>
      </c>
      <c r="G62" s="129" t="s">
        <v>142</v>
      </c>
      <c r="H62" s="129"/>
      <c r="I62" s="129"/>
      <c r="J62" s="129"/>
      <c r="K62" s="129"/>
      <c r="L62" s="129"/>
      <c r="M62" s="129"/>
      <c r="N62" s="129"/>
      <c r="O62" s="129"/>
      <c r="P62" s="129"/>
    </row>
    <row r="63" spans="1:34" ht="15" customHeight="1" x14ac:dyDescent="0.2">
      <c r="A63" s="114">
        <v>62</v>
      </c>
      <c r="B63" s="113" t="s">
        <v>167</v>
      </c>
      <c r="C63" s="113" t="s">
        <v>262</v>
      </c>
      <c r="F63" s="78">
        <v>6</v>
      </c>
      <c r="G63" s="129" t="s">
        <v>143</v>
      </c>
      <c r="H63" s="129"/>
      <c r="I63" s="129"/>
      <c r="J63" s="129"/>
      <c r="K63" s="129"/>
      <c r="L63" s="129"/>
      <c r="M63" s="129"/>
      <c r="N63" s="129"/>
      <c r="O63" s="129"/>
      <c r="P63" s="129"/>
    </row>
    <row r="64" spans="1:34" ht="15" customHeight="1" x14ac:dyDescent="0.2">
      <c r="A64" s="114">
        <v>63</v>
      </c>
      <c r="B64" s="113" t="s">
        <v>167</v>
      </c>
      <c r="C64" s="113" t="s">
        <v>263</v>
      </c>
      <c r="F64" s="78">
        <v>7</v>
      </c>
      <c r="G64" s="129" t="s">
        <v>144</v>
      </c>
      <c r="H64" s="129"/>
      <c r="I64" s="129"/>
      <c r="J64" s="129"/>
      <c r="K64" s="129"/>
      <c r="L64" s="129"/>
      <c r="M64" s="129"/>
      <c r="N64" s="129"/>
      <c r="O64" s="129"/>
      <c r="P64" s="129"/>
    </row>
    <row r="65" spans="1:16" ht="15" customHeight="1" x14ac:dyDescent="0.25">
      <c r="A65" s="115">
        <v>64</v>
      </c>
      <c r="B65" s="113" t="s">
        <v>167</v>
      </c>
      <c r="C65" s="113" t="s">
        <v>264</v>
      </c>
      <c r="F65" s="78">
        <v>8</v>
      </c>
      <c r="G65" s="129" t="s">
        <v>145</v>
      </c>
      <c r="H65" s="129"/>
      <c r="I65" s="129"/>
      <c r="J65" s="129"/>
      <c r="K65" s="129"/>
      <c r="L65" s="129"/>
      <c r="M65" s="129"/>
      <c r="N65" s="129"/>
      <c r="O65" s="129"/>
      <c r="P65" s="129"/>
    </row>
    <row r="66" spans="1:16" ht="15" customHeight="1" x14ac:dyDescent="0.2">
      <c r="A66" s="114">
        <v>65</v>
      </c>
      <c r="B66" s="113" t="s">
        <v>179</v>
      </c>
      <c r="C66" s="113" t="s">
        <v>210</v>
      </c>
      <c r="F66" s="78">
        <v>9</v>
      </c>
      <c r="G66" s="129" t="s">
        <v>146</v>
      </c>
      <c r="H66" s="129"/>
      <c r="I66" s="129"/>
      <c r="J66" s="129"/>
      <c r="K66" s="129"/>
      <c r="L66" s="129"/>
      <c r="M66" s="129"/>
      <c r="N66" s="129"/>
      <c r="O66" s="129"/>
      <c r="P66" s="129"/>
    </row>
    <row r="67" spans="1:16" ht="15" customHeight="1" x14ac:dyDescent="0.2">
      <c r="A67" s="114">
        <v>66</v>
      </c>
      <c r="B67" s="113" t="s">
        <v>179</v>
      </c>
      <c r="C67" s="113" t="s">
        <v>162</v>
      </c>
      <c r="F67" s="78">
        <v>10</v>
      </c>
      <c r="G67" s="129" t="s">
        <v>147</v>
      </c>
      <c r="H67" s="129"/>
      <c r="I67" s="129"/>
      <c r="J67" s="129"/>
      <c r="K67" s="129"/>
      <c r="L67" s="129"/>
      <c r="M67" s="129"/>
      <c r="N67" s="129"/>
      <c r="O67" s="129"/>
      <c r="P67" s="129"/>
    </row>
    <row r="68" spans="1:16" ht="15" customHeight="1" x14ac:dyDescent="0.25">
      <c r="A68" s="115">
        <v>67</v>
      </c>
      <c r="B68" s="113" t="s">
        <v>179</v>
      </c>
      <c r="C68" s="110" t="s">
        <v>182</v>
      </c>
      <c r="F68" s="78">
        <v>11</v>
      </c>
      <c r="G68" s="129" t="s">
        <v>148</v>
      </c>
      <c r="H68" s="129"/>
      <c r="I68" s="129"/>
      <c r="J68" s="129"/>
      <c r="K68" s="129"/>
      <c r="L68" s="129"/>
      <c r="M68" s="129"/>
      <c r="N68" s="129"/>
      <c r="O68" s="129"/>
      <c r="P68" s="129"/>
    </row>
    <row r="69" spans="1:16" ht="15" customHeight="1" thickBot="1" x14ac:dyDescent="0.25">
      <c r="A69" s="114">
        <v>68</v>
      </c>
      <c r="B69" s="113" t="s">
        <v>179</v>
      </c>
      <c r="C69" s="110" t="s">
        <v>206</v>
      </c>
      <c r="F69" s="105">
        <v>12</v>
      </c>
      <c r="G69" s="128" t="s">
        <v>149</v>
      </c>
      <c r="H69" s="128"/>
      <c r="I69" s="128"/>
      <c r="J69" s="128"/>
      <c r="K69" s="128"/>
      <c r="L69" s="128"/>
      <c r="M69" s="128"/>
      <c r="N69" s="128"/>
      <c r="O69" s="128"/>
      <c r="P69" s="128"/>
    </row>
    <row r="70" spans="1:16" ht="15.75" x14ac:dyDescent="0.2">
      <c r="A70" s="114">
        <v>69</v>
      </c>
      <c r="B70" s="113" t="s">
        <v>179</v>
      </c>
      <c r="C70" s="110" t="s">
        <v>314</v>
      </c>
    </row>
    <row r="71" spans="1:16" ht="15.75" x14ac:dyDescent="0.25">
      <c r="A71" s="115">
        <v>70</v>
      </c>
      <c r="B71" s="113" t="s">
        <v>179</v>
      </c>
      <c r="C71" s="113" t="s">
        <v>209</v>
      </c>
    </row>
    <row r="72" spans="1:16" ht="15.75" x14ac:dyDescent="0.2">
      <c r="A72" s="114">
        <v>71</v>
      </c>
      <c r="B72" s="113" t="s">
        <v>179</v>
      </c>
      <c r="C72" s="113" t="s">
        <v>154</v>
      </c>
    </row>
    <row r="73" spans="1:16" ht="15.75" x14ac:dyDescent="0.2">
      <c r="A73" s="114">
        <v>72</v>
      </c>
      <c r="B73" s="113" t="s">
        <v>179</v>
      </c>
      <c r="C73" s="113" t="s">
        <v>183</v>
      </c>
    </row>
    <row r="74" spans="1:16" ht="15.75" x14ac:dyDescent="0.25">
      <c r="A74" s="115">
        <v>73</v>
      </c>
      <c r="B74" s="113" t="s">
        <v>179</v>
      </c>
      <c r="C74" s="113" t="s">
        <v>207</v>
      </c>
    </row>
    <row r="75" spans="1:16" ht="15.75" x14ac:dyDescent="0.2">
      <c r="A75" s="114">
        <v>74</v>
      </c>
      <c r="B75" s="113" t="s">
        <v>179</v>
      </c>
      <c r="C75" s="113" t="s">
        <v>184</v>
      </c>
    </row>
    <row r="76" spans="1:16" ht="15.75" x14ac:dyDescent="0.2">
      <c r="A76" s="114">
        <v>75</v>
      </c>
      <c r="B76" s="113" t="s">
        <v>179</v>
      </c>
      <c r="C76" s="113" t="s">
        <v>208</v>
      </c>
    </row>
    <row r="77" spans="1:16" ht="15.75" x14ac:dyDescent="0.25">
      <c r="A77" s="115">
        <v>76</v>
      </c>
      <c r="B77" s="113" t="s">
        <v>179</v>
      </c>
      <c r="C77" s="113" t="s">
        <v>265</v>
      </c>
    </row>
    <row r="78" spans="1:16" ht="15.75" x14ac:dyDescent="0.2">
      <c r="A78" s="114">
        <v>77</v>
      </c>
      <c r="B78" s="113" t="s">
        <v>179</v>
      </c>
      <c r="C78" s="113" t="s">
        <v>266</v>
      </c>
    </row>
    <row r="79" spans="1:16" ht="15.75" x14ac:dyDescent="0.2">
      <c r="A79" s="114">
        <v>78</v>
      </c>
      <c r="B79" s="113" t="s">
        <v>179</v>
      </c>
      <c r="C79" s="113" t="s">
        <v>303</v>
      </c>
    </row>
    <row r="80" spans="1:16" ht="15.75" x14ac:dyDescent="0.25">
      <c r="A80" s="115">
        <v>79</v>
      </c>
      <c r="B80" s="113" t="s">
        <v>179</v>
      </c>
      <c r="C80" s="113" t="s">
        <v>267</v>
      </c>
    </row>
    <row r="81" spans="1:3" ht="15.75" x14ac:dyDescent="0.2">
      <c r="A81" s="114">
        <v>80</v>
      </c>
      <c r="B81" s="113" t="s">
        <v>179</v>
      </c>
      <c r="C81" s="113" t="s">
        <v>268</v>
      </c>
    </row>
    <row r="82" spans="1:3" ht="15.75" x14ac:dyDescent="0.2">
      <c r="A82" s="114">
        <v>81</v>
      </c>
      <c r="B82" s="113" t="s">
        <v>179</v>
      </c>
      <c r="C82" s="113" t="s">
        <v>269</v>
      </c>
    </row>
    <row r="83" spans="1:3" ht="15.75" x14ac:dyDescent="0.25">
      <c r="A83" s="115">
        <v>82</v>
      </c>
      <c r="B83" s="113" t="s">
        <v>185</v>
      </c>
      <c r="C83" s="113" t="s">
        <v>237</v>
      </c>
    </row>
    <row r="84" spans="1:3" ht="15.75" x14ac:dyDescent="0.2">
      <c r="A84" s="114">
        <v>83</v>
      </c>
      <c r="B84" s="113" t="s">
        <v>185</v>
      </c>
      <c r="C84" s="113" t="s">
        <v>297</v>
      </c>
    </row>
    <row r="85" spans="1:3" ht="15.75" x14ac:dyDescent="0.2">
      <c r="A85" s="114">
        <v>84</v>
      </c>
      <c r="B85" s="113" t="s">
        <v>185</v>
      </c>
      <c r="C85" s="113" t="s">
        <v>226</v>
      </c>
    </row>
    <row r="86" spans="1:3" ht="15.75" x14ac:dyDescent="0.25">
      <c r="A86" s="115">
        <v>85</v>
      </c>
      <c r="B86" s="113" t="s">
        <v>185</v>
      </c>
      <c r="C86" s="113" t="s">
        <v>211</v>
      </c>
    </row>
    <row r="87" spans="1:3" ht="15.75" x14ac:dyDescent="0.2">
      <c r="A87" s="114">
        <v>86</v>
      </c>
      <c r="B87" s="113" t="s">
        <v>185</v>
      </c>
      <c r="C87" s="113" t="s">
        <v>270</v>
      </c>
    </row>
    <row r="88" spans="1:3" ht="15.75" x14ac:dyDescent="0.2">
      <c r="A88" s="114">
        <v>87</v>
      </c>
      <c r="B88" s="113" t="s">
        <v>185</v>
      </c>
      <c r="C88" s="113" t="s">
        <v>271</v>
      </c>
    </row>
    <row r="89" spans="1:3" ht="15.75" x14ac:dyDescent="0.25">
      <c r="A89" s="115">
        <v>88</v>
      </c>
      <c r="B89" s="113" t="s">
        <v>185</v>
      </c>
      <c r="C89" s="113" t="s">
        <v>272</v>
      </c>
    </row>
    <row r="90" spans="1:3" ht="15.75" x14ac:dyDescent="0.2">
      <c r="A90" s="114">
        <v>89</v>
      </c>
      <c r="B90" s="113" t="s">
        <v>185</v>
      </c>
      <c r="C90" s="113" t="s">
        <v>273</v>
      </c>
    </row>
    <row r="91" spans="1:3" ht="15.75" x14ac:dyDescent="0.2">
      <c r="A91" s="114">
        <v>90</v>
      </c>
      <c r="B91" s="113" t="s">
        <v>185</v>
      </c>
      <c r="C91" s="113" t="s">
        <v>274</v>
      </c>
    </row>
    <row r="92" spans="1:3" ht="15.75" x14ac:dyDescent="0.25">
      <c r="A92" s="115">
        <v>91</v>
      </c>
      <c r="B92" s="113" t="s">
        <v>185</v>
      </c>
      <c r="C92" s="113" t="s">
        <v>275</v>
      </c>
    </row>
    <row r="93" spans="1:3" ht="15.75" x14ac:dyDescent="0.2">
      <c r="A93" s="114">
        <v>92</v>
      </c>
      <c r="B93" s="113" t="s">
        <v>185</v>
      </c>
      <c r="C93" s="113" t="s">
        <v>276</v>
      </c>
    </row>
    <row r="94" spans="1:3" ht="15.75" x14ac:dyDescent="0.2">
      <c r="A94" s="114">
        <v>93</v>
      </c>
      <c r="B94" s="113" t="s">
        <v>185</v>
      </c>
      <c r="C94" s="113" t="s">
        <v>277</v>
      </c>
    </row>
    <row r="95" spans="1:3" ht="15.75" x14ac:dyDescent="0.25">
      <c r="A95" s="115">
        <v>94</v>
      </c>
      <c r="B95" s="113" t="s">
        <v>155</v>
      </c>
      <c r="C95" s="113" t="s">
        <v>212</v>
      </c>
    </row>
    <row r="96" spans="1:3" ht="15.75" x14ac:dyDescent="0.2">
      <c r="A96" s="114">
        <v>95</v>
      </c>
      <c r="B96" s="113" t="s">
        <v>155</v>
      </c>
      <c r="C96" s="113" t="s">
        <v>230</v>
      </c>
    </row>
    <row r="97" spans="1:3" ht="15.75" x14ac:dyDescent="0.2">
      <c r="A97" s="114">
        <v>96</v>
      </c>
      <c r="B97" s="113" t="s">
        <v>155</v>
      </c>
      <c r="C97" s="113" t="s">
        <v>216</v>
      </c>
    </row>
    <row r="98" spans="1:3" ht="15.75" x14ac:dyDescent="0.25">
      <c r="A98" s="115">
        <v>97</v>
      </c>
      <c r="B98" s="113" t="s">
        <v>155</v>
      </c>
      <c r="C98" s="113" t="s">
        <v>213</v>
      </c>
    </row>
    <row r="99" spans="1:3" ht="15.75" x14ac:dyDescent="0.2">
      <c r="A99" s="114">
        <v>98</v>
      </c>
      <c r="B99" s="113" t="s">
        <v>155</v>
      </c>
      <c r="C99" s="113" t="s">
        <v>214</v>
      </c>
    </row>
    <row r="100" spans="1:3" ht="15.75" x14ac:dyDescent="0.2">
      <c r="A100" s="114">
        <v>99</v>
      </c>
      <c r="B100" s="113" t="s">
        <v>155</v>
      </c>
      <c r="C100" s="113" t="s">
        <v>228</v>
      </c>
    </row>
    <row r="101" spans="1:3" ht="15.75" x14ac:dyDescent="0.25">
      <c r="A101" s="115">
        <v>100</v>
      </c>
      <c r="B101" s="113" t="s">
        <v>155</v>
      </c>
      <c r="C101" s="113" t="s">
        <v>278</v>
      </c>
    </row>
    <row r="102" spans="1:3" ht="15.75" x14ac:dyDescent="0.2">
      <c r="A102" s="114">
        <v>101</v>
      </c>
      <c r="B102" s="113" t="s">
        <v>155</v>
      </c>
      <c r="C102" s="113" t="s">
        <v>279</v>
      </c>
    </row>
    <row r="103" spans="1:3" ht="15.75" x14ac:dyDescent="0.2">
      <c r="A103" s="114">
        <v>102</v>
      </c>
      <c r="B103" s="113" t="s">
        <v>155</v>
      </c>
      <c r="C103" s="113" t="s">
        <v>280</v>
      </c>
    </row>
    <row r="104" spans="1:3" ht="15.75" x14ac:dyDescent="0.25">
      <c r="A104" s="115">
        <v>103</v>
      </c>
      <c r="B104" s="113" t="s">
        <v>155</v>
      </c>
      <c r="C104" s="113" t="s">
        <v>281</v>
      </c>
    </row>
    <row r="105" spans="1:3" ht="15.75" x14ac:dyDescent="0.2">
      <c r="A105" s="114">
        <v>104</v>
      </c>
      <c r="B105" s="113" t="s">
        <v>155</v>
      </c>
      <c r="C105" s="113" t="s">
        <v>311</v>
      </c>
    </row>
    <row r="106" spans="1:3" ht="15.75" x14ac:dyDescent="0.2">
      <c r="A106" s="114">
        <v>105</v>
      </c>
      <c r="B106" s="113" t="s">
        <v>155</v>
      </c>
      <c r="C106" s="113" t="s">
        <v>282</v>
      </c>
    </row>
    <row r="107" spans="1:3" ht="15.75" x14ac:dyDescent="0.25">
      <c r="A107" s="115">
        <v>106</v>
      </c>
      <c r="B107" s="113" t="s">
        <v>215</v>
      </c>
      <c r="C107" s="113" t="s">
        <v>308</v>
      </c>
    </row>
    <row r="108" spans="1:3" ht="15.75" x14ac:dyDescent="0.2">
      <c r="A108" s="114">
        <v>107</v>
      </c>
      <c r="B108" s="113" t="s">
        <v>215</v>
      </c>
      <c r="C108" s="113" t="s">
        <v>309</v>
      </c>
    </row>
    <row r="109" spans="1:3" ht="15.75" x14ac:dyDescent="0.2">
      <c r="A109" s="114">
        <v>108</v>
      </c>
      <c r="B109" s="113" t="s">
        <v>215</v>
      </c>
      <c r="C109" s="113" t="s">
        <v>310</v>
      </c>
    </row>
    <row r="110" spans="1:3" ht="15.75" x14ac:dyDescent="0.25">
      <c r="A110" s="115">
        <v>109</v>
      </c>
      <c r="B110" s="113" t="s">
        <v>215</v>
      </c>
      <c r="C110" s="113" t="s">
        <v>283</v>
      </c>
    </row>
    <row r="111" spans="1:3" ht="15.75" x14ac:dyDescent="0.2">
      <c r="A111" s="114">
        <v>110</v>
      </c>
      <c r="B111" s="113" t="s">
        <v>215</v>
      </c>
      <c r="C111" s="113" t="s">
        <v>306</v>
      </c>
    </row>
    <row r="112" spans="1:3" ht="15.75" x14ac:dyDescent="0.2">
      <c r="A112" s="114">
        <v>111</v>
      </c>
      <c r="B112" s="113" t="s">
        <v>215</v>
      </c>
      <c r="C112" s="113" t="s">
        <v>307</v>
      </c>
    </row>
    <row r="113" spans="1:3" ht="15.75" x14ac:dyDescent="0.25">
      <c r="A113" s="115">
        <v>112</v>
      </c>
      <c r="B113" s="113" t="s">
        <v>217</v>
      </c>
      <c r="C113" s="113" t="s">
        <v>218</v>
      </c>
    </row>
    <row r="114" spans="1:3" ht="15.75" x14ac:dyDescent="0.2">
      <c r="A114" s="114">
        <v>113</v>
      </c>
      <c r="B114" s="113" t="s">
        <v>217</v>
      </c>
      <c r="C114" s="113" t="s">
        <v>219</v>
      </c>
    </row>
    <row r="115" spans="1:3" ht="15.75" x14ac:dyDescent="0.2">
      <c r="A115" s="114">
        <v>114</v>
      </c>
      <c r="B115" s="113" t="s">
        <v>217</v>
      </c>
      <c r="C115" s="113" t="s">
        <v>225</v>
      </c>
    </row>
    <row r="116" spans="1:3" ht="15.75" x14ac:dyDescent="0.25">
      <c r="A116" s="115">
        <v>115</v>
      </c>
      <c r="B116" s="113" t="s">
        <v>217</v>
      </c>
      <c r="C116" s="113" t="s">
        <v>224</v>
      </c>
    </row>
    <row r="117" spans="1:3" ht="15.75" x14ac:dyDescent="0.2">
      <c r="A117" s="114">
        <v>116</v>
      </c>
      <c r="B117" s="113" t="s">
        <v>217</v>
      </c>
      <c r="C117" s="113" t="s">
        <v>229</v>
      </c>
    </row>
    <row r="118" spans="1:3" ht="15.75" x14ac:dyDescent="0.2">
      <c r="A118" s="114">
        <v>117</v>
      </c>
      <c r="B118" s="113" t="s">
        <v>217</v>
      </c>
      <c r="C118" s="113" t="s">
        <v>220</v>
      </c>
    </row>
    <row r="119" spans="1:3" ht="15.75" x14ac:dyDescent="0.25">
      <c r="A119" s="115">
        <v>118</v>
      </c>
      <c r="B119" s="113" t="s">
        <v>217</v>
      </c>
      <c r="C119" s="113" t="s">
        <v>313</v>
      </c>
    </row>
    <row r="120" spans="1:3" ht="15.75" x14ac:dyDescent="0.2">
      <c r="A120" s="114">
        <v>119</v>
      </c>
      <c r="B120" s="113" t="s">
        <v>217</v>
      </c>
      <c r="C120" s="113" t="s">
        <v>312</v>
      </c>
    </row>
    <row r="121" spans="1:3" ht="15.75" x14ac:dyDescent="0.2">
      <c r="A121" s="114">
        <v>120</v>
      </c>
      <c r="B121" s="113" t="s">
        <v>217</v>
      </c>
      <c r="C121" s="113" t="s">
        <v>223</v>
      </c>
    </row>
    <row r="122" spans="1:3" ht="15.75" x14ac:dyDescent="0.25">
      <c r="A122" s="115">
        <v>121</v>
      </c>
      <c r="B122" s="113" t="s">
        <v>217</v>
      </c>
      <c r="C122" s="113" t="s">
        <v>221</v>
      </c>
    </row>
    <row r="123" spans="1:3" ht="15.75" x14ac:dyDescent="0.2">
      <c r="A123" s="114">
        <v>122</v>
      </c>
      <c r="B123" s="113" t="s">
        <v>217</v>
      </c>
      <c r="C123" s="113" t="s">
        <v>231</v>
      </c>
    </row>
    <row r="124" spans="1:3" ht="15.75" x14ac:dyDescent="0.2">
      <c r="A124" s="114">
        <v>123</v>
      </c>
      <c r="B124" s="113" t="s">
        <v>217</v>
      </c>
      <c r="C124" s="113" t="s">
        <v>222</v>
      </c>
    </row>
    <row r="125" spans="1:3" ht="15.75" x14ac:dyDescent="0.25">
      <c r="A125" s="115">
        <v>124</v>
      </c>
      <c r="B125" s="113" t="s">
        <v>217</v>
      </c>
      <c r="C125" s="113" t="s">
        <v>284</v>
      </c>
    </row>
    <row r="126" spans="1:3" ht="15.75" x14ac:dyDescent="0.2">
      <c r="A126" s="114">
        <v>125</v>
      </c>
      <c r="B126" s="113" t="s">
        <v>217</v>
      </c>
      <c r="C126" s="113" t="s">
        <v>285</v>
      </c>
    </row>
    <row r="127" spans="1:3" ht="15.75" x14ac:dyDescent="0.2">
      <c r="A127" s="114">
        <v>126</v>
      </c>
      <c r="B127" s="113" t="s">
        <v>217</v>
      </c>
      <c r="C127" s="113" t="s">
        <v>286</v>
      </c>
    </row>
    <row r="128" spans="1:3" ht="15.75" x14ac:dyDescent="0.25">
      <c r="A128" s="115">
        <v>127</v>
      </c>
      <c r="B128" s="113" t="s">
        <v>217</v>
      </c>
      <c r="C128" s="113" t="s">
        <v>287</v>
      </c>
    </row>
    <row r="129" spans="1:3" ht="15.75" x14ac:dyDescent="0.2">
      <c r="A129" s="114">
        <v>128</v>
      </c>
      <c r="B129" s="113" t="s">
        <v>217</v>
      </c>
      <c r="C129" s="113" t="s">
        <v>288</v>
      </c>
    </row>
    <row r="130" spans="1:3" ht="15.75" x14ac:dyDescent="0.2">
      <c r="A130" s="114">
        <v>129</v>
      </c>
      <c r="B130" s="113" t="s">
        <v>217</v>
      </c>
      <c r="C130" s="113" t="s">
        <v>289</v>
      </c>
    </row>
    <row r="131" spans="1:3" ht="15.75" x14ac:dyDescent="0.25">
      <c r="A131" s="115">
        <v>130</v>
      </c>
      <c r="B131" s="113" t="s">
        <v>217</v>
      </c>
      <c r="C131" s="113" t="s">
        <v>290</v>
      </c>
    </row>
    <row r="132" spans="1:3" ht="15.75" x14ac:dyDescent="0.2">
      <c r="A132" s="114">
        <v>131</v>
      </c>
      <c r="B132" s="113" t="s">
        <v>217</v>
      </c>
      <c r="C132" s="113" t="s">
        <v>291</v>
      </c>
    </row>
    <row r="133" spans="1:3" ht="15.75" x14ac:dyDescent="0.2">
      <c r="A133" s="114">
        <v>132</v>
      </c>
      <c r="B133" s="113" t="s">
        <v>217</v>
      </c>
      <c r="C133" s="113" t="s">
        <v>292</v>
      </c>
    </row>
    <row r="134" spans="1:3" ht="15.75" x14ac:dyDescent="0.25">
      <c r="A134" s="115">
        <v>133</v>
      </c>
      <c r="B134" s="113" t="s">
        <v>217</v>
      </c>
      <c r="C134" s="113" t="s">
        <v>293</v>
      </c>
    </row>
    <row r="135" spans="1:3" ht="15.75" x14ac:dyDescent="0.2">
      <c r="A135" s="114">
        <v>134</v>
      </c>
      <c r="B135" s="113" t="s">
        <v>217</v>
      </c>
      <c r="C135" s="113" t="s">
        <v>294</v>
      </c>
    </row>
    <row r="136" spans="1:3" ht="15.75" x14ac:dyDescent="0.2">
      <c r="A136" s="114">
        <v>135</v>
      </c>
      <c r="B136" s="113" t="s">
        <v>217</v>
      </c>
      <c r="C136" s="113" t="s">
        <v>295</v>
      </c>
    </row>
    <row r="137" spans="1:3" ht="15.75" x14ac:dyDescent="0.25">
      <c r="A137" s="115">
        <v>136</v>
      </c>
      <c r="B137" s="113" t="s">
        <v>217</v>
      </c>
      <c r="C137" s="113" t="s">
        <v>296</v>
      </c>
    </row>
    <row r="138" spans="1:3" ht="15.75" x14ac:dyDescent="0.2">
      <c r="A138" s="114">
        <v>137</v>
      </c>
      <c r="B138" s="113" t="s">
        <v>217</v>
      </c>
      <c r="C138" s="113" t="s">
        <v>301</v>
      </c>
    </row>
  </sheetData>
  <sheetProtection selectLockedCells="1" selectUnlockedCells="1"/>
  <mergeCells count="49">
    <mergeCell ref="T17:V17"/>
    <mergeCell ref="E1:R1"/>
    <mergeCell ref="T1:V1"/>
    <mergeCell ref="T4:V4"/>
    <mergeCell ref="T11:V11"/>
    <mergeCell ref="T14:V14"/>
    <mergeCell ref="T20:V20"/>
    <mergeCell ref="E23:G24"/>
    <mergeCell ref="H23:I24"/>
    <mergeCell ref="T24:U24"/>
    <mergeCell ref="E18:E19"/>
    <mergeCell ref="F18:F19"/>
    <mergeCell ref="G18:H19"/>
    <mergeCell ref="I18:I19"/>
    <mergeCell ref="J18:J19"/>
    <mergeCell ref="K18:L19"/>
    <mergeCell ref="M18:M19"/>
    <mergeCell ref="N18:N19"/>
    <mergeCell ref="E25:E26"/>
    <mergeCell ref="F25:F26"/>
    <mergeCell ref="G25:G26"/>
    <mergeCell ref="H25:H26"/>
    <mergeCell ref="I25:I26"/>
    <mergeCell ref="U25:U26"/>
    <mergeCell ref="V25:V26"/>
    <mergeCell ref="K25:K26"/>
    <mergeCell ref="L25:L26"/>
    <mergeCell ref="M25:M26"/>
    <mergeCell ref="N25:N26"/>
    <mergeCell ref="O25:O26"/>
    <mergeCell ref="P25:P26"/>
    <mergeCell ref="G62:P62"/>
    <mergeCell ref="Q25:Q26"/>
    <mergeCell ref="R25:R26"/>
    <mergeCell ref="S25:S26"/>
    <mergeCell ref="T25:T26"/>
    <mergeCell ref="J25:J26"/>
    <mergeCell ref="F57:P57"/>
    <mergeCell ref="G58:P58"/>
    <mergeCell ref="G59:P59"/>
    <mergeCell ref="G60:P60"/>
    <mergeCell ref="G61:P61"/>
    <mergeCell ref="G69:P69"/>
    <mergeCell ref="G63:P63"/>
    <mergeCell ref="G64:P64"/>
    <mergeCell ref="G65:P65"/>
    <mergeCell ref="G66:P66"/>
    <mergeCell ref="G67:P67"/>
    <mergeCell ref="G68:P68"/>
  </mergeCells>
  <pageMargins left="0.39370078740157483" right="0.39370078740157483" top="0.39370078740157483" bottom="0.39370078740157483" header="0.51181102362204722" footer="0.51181102362204722"/>
  <pageSetup paperSize="9" scale="32" firstPageNumber="0" orientation="portrait" horizontalDpi="300" verticalDpi="300" r:id="rId1"/>
  <headerFooter alignWithMargins="0"/>
  <rowBreaks count="1" manualBreakCount="1">
    <brk id="188" max="21" man="1"/>
  </rowBreaks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Fogli di lavoro</vt:lpstr>
      </vt:variant>
      <vt:variant>
        <vt:i4>7</vt:i4>
      </vt:variant>
      <vt:variant>
        <vt:lpstr>Intervalli denominati</vt:lpstr>
      </vt:variant>
      <vt:variant>
        <vt:i4>7</vt:i4>
      </vt:variant>
    </vt:vector>
  </HeadingPairs>
  <TitlesOfParts>
    <vt:vector size="14" baseType="lpstr">
      <vt:lpstr>SIESTAT_1_</vt:lpstr>
      <vt:lpstr>SIESTAT 2</vt:lpstr>
      <vt:lpstr>SITREP</vt:lpstr>
      <vt:lpstr>Sheet8</vt:lpstr>
      <vt:lpstr>Sheet9</vt:lpstr>
      <vt:lpstr>Sheet10</vt:lpstr>
      <vt:lpstr>ELENCO</vt:lpstr>
      <vt:lpstr>ELENCO!Area_stampa</vt:lpstr>
      <vt:lpstr>SIESTAT_1_!Area_stampa</vt:lpstr>
      <vt:lpstr>ELENCO!Excel_BuiltIn__FilterDatabase</vt:lpstr>
      <vt:lpstr>Excel_BuiltIn__FilterDatabase_10_1</vt:lpstr>
      <vt:lpstr>SITREP!Excel_BuiltIn_Print_Area</vt:lpstr>
      <vt:lpstr>Excel_BuiltIn_Print_Area_3_1_1_1</vt:lpstr>
      <vt:lpstr>Excel_BuiltIn_Print_Area_4_1_1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3cp-ufcp</dc:creator>
  <cp:lastModifiedBy>DI GENNARO MICHELE</cp:lastModifiedBy>
  <cp:lastPrinted>2024-08-09T07:58:14Z</cp:lastPrinted>
  <dcterms:created xsi:type="dcterms:W3CDTF">2017-10-26T09:31:21Z</dcterms:created>
  <dcterms:modified xsi:type="dcterms:W3CDTF">2026-01-29T00:37:30Z</dcterms:modified>
</cp:coreProperties>
</file>